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3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ctrlProps/ctrlProp15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e5fda3e652b3680/Documents/"/>
    </mc:Choice>
  </mc:AlternateContent>
  <xr:revisionPtr revIDLastSave="3306" documentId="8_{25793CEC-1D98-4A8C-AB73-0CCAF3C63598}" xr6:coauthVersionLast="47" xr6:coauthVersionMax="47" xr10:uidLastSave="{91F31D0E-5A2B-45F1-A659-A8F9BCE99C1D}"/>
  <bookViews>
    <workbookView xWindow="-108" yWindow="-108" windowWidth="23256" windowHeight="12456" activeTab="3" xr2:uid="{8682952D-D645-4A6E-B9B0-2F1BED8FBBC6}"/>
  </bookViews>
  <sheets>
    <sheet name="Operations" sheetId="16" r:id="rId1"/>
    <sheet name="Business and Sales" sheetId="24" r:id="rId2"/>
    <sheet name="Customer Experience" sheetId="29" r:id="rId3"/>
    <sheet name="Financials" sheetId="30" r:id="rId4"/>
    <sheet name="Raw Data 1" sheetId="15" r:id="rId5"/>
    <sheet name="Transformed data" sheetId="17" r:id="rId6"/>
    <sheet name="Raw Data 2" sheetId="22" r:id="rId7"/>
    <sheet name="2023" sheetId="21" state="hidden" r:id="rId8"/>
    <sheet name="2022" sheetId="20" state="hidden" r:id="rId9"/>
    <sheet name="2021" sheetId="19" state="hidden" r:id="rId10"/>
    <sheet name="Raw Data 3" sheetId="25" r:id="rId11"/>
    <sheet name="Transformed Data2" sheetId="26" r:id="rId12"/>
    <sheet name="Raw Data 4" sheetId="31" r:id="rId13"/>
  </sheets>
  <definedNames>
    <definedName name="_xlchart.v1.0" hidden="1">'Transformed data'!$I$10:$I$18</definedName>
    <definedName name="_xlchart.v1.1" hidden="1">'Transformed data'!$J$10:$J$18</definedName>
    <definedName name="_xlchart.v1.2" hidden="1">'Transformed data'!$J$9</definedName>
    <definedName name="_xlchart.v1.5" hidden="1">'Raw Data 4'!$A$17:$A$20</definedName>
    <definedName name="_xlchart.v1.6" hidden="1">'Raw Data 4'!$B$16</definedName>
    <definedName name="_xlchart.v1.7" hidden="1">'Raw Data 4'!$B$17:$B$20</definedName>
    <definedName name="_xlchart.v2.3" hidden="1">'Raw Data 4'!$A$10:$A$13</definedName>
    <definedName name="_xlchart.v2.4" hidden="1">'Raw Data 4'!$B$10:$B$13</definedName>
    <definedName name="_xlcn.WorksheetConnection_zomato.xlsxTable11" hidden="1">RawData[]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1" name="Table1" connection="WorksheetConnection_zomato.xlsx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31" l="1" a="1"/>
  <c r="B18" i="31" s="1"/>
  <c r="B19" i="31" a="1"/>
  <c r="B19" i="31" s="1"/>
  <c r="N4" i="30"/>
  <c r="B17" i="31" s="1" a="1"/>
  <c r="B17" i="31" s="1"/>
  <c r="N4" i="24"/>
  <c r="N2" i="30"/>
  <c r="K2" i="30"/>
  <c r="C6" i="31"/>
  <c r="D6" i="31"/>
  <c r="D2" i="31"/>
  <c r="D3" i="31"/>
  <c r="D4" i="31"/>
  <c r="D5" i="31"/>
  <c r="C2" i="31"/>
  <c r="C3" i="31"/>
  <c r="C4" i="31"/>
  <c r="C5" i="31"/>
  <c r="B20" i="31" l="1" a="1"/>
  <c r="B20" i="31" s="1"/>
  <c r="L3" i="22"/>
  <c r="M3" i="22" s="1"/>
  <c r="L4" i="22"/>
  <c r="M4" i="22" s="1"/>
  <c r="L5" i="22"/>
  <c r="M5" i="22" s="1"/>
  <c r="L6" i="22"/>
  <c r="M6" i="22" s="1"/>
  <c r="L7" i="22"/>
  <c r="M7" i="22" s="1"/>
  <c r="L8" i="22"/>
  <c r="M8" i="22" s="1"/>
  <c r="L9" i="22"/>
  <c r="M9" i="22" s="1"/>
  <c r="L10" i="22"/>
  <c r="M10" i="22" s="1"/>
  <c r="L11" i="22"/>
  <c r="M11" i="22" s="1"/>
  <c r="L12" i="22"/>
  <c r="M12" i="22" s="1"/>
  <c r="L13" i="22"/>
  <c r="M13" i="22" s="1"/>
  <c r="L14" i="22"/>
  <c r="M14" i="22" s="1"/>
  <c r="L15" i="22"/>
  <c r="M15" i="22" s="1"/>
  <c r="L16" i="22"/>
  <c r="M16" i="22" s="1"/>
  <c r="L17" i="22"/>
  <c r="M17" i="22" s="1"/>
  <c r="L18" i="22"/>
  <c r="M18" i="22" s="1"/>
  <c r="L19" i="22"/>
  <c r="M19" i="22" s="1"/>
  <c r="L20" i="22"/>
  <c r="M20" i="22" s="1"/>
  <c r="L21" i="22"/>
  <c r="M21" i="22" s="1"/>
  <c r="L22" i="22"/>
  <c r="M22" i="22" s="1"/>
  <c r="L23" i="22"/>
  <c r="M23" i="22" s="1"/>
  <c r="L24" i="22"/>
  <c r="M24" i="22" s="1"/>
  <c r="L25" i="22"/>
  <c r="M25" i="22" s="1"/>
  <c r="L26" i="22"/>
  <c r="M26" i="22" s="1"/>
  <c r="L27" i="22"/>
  <c r="M27" i="22" s="1"/>
  <c r="L28" i="22"/>
  <c r="M28" i="22" s="1"/>
  <c r="L29" i="22"/>
  <c r="M29" i="22" s="1"/>
  <c r="L30" i="22"/>
  <c r="M30" i="22" s="1"/>
  <c r="L31" i="22"/>
  <c r="M31" i="22" s="1"/>
  <c r="L32" i="22"/>
  <c r="M32" i="22" s="1"/>
  <c r="L33" i="22"/>
  <c r="M33" i="22" s="1"/>
  <c r="L34" i="22"/>
  <c r="M34" i="22" s="1"/>
  <c r="L35" i="22"/>
  <c r="M35" i="22" s="1"/>
  <c r="L36" i="22"/>
  <c r="M36" i="22" s="1"/>
  <c r="L37" i="22"/>
  <c r="M37" i="22" s="1"/>
  <c r="L38" i="22"/>
  <c r="M38" i="22" s="1"/>
  <c r="L39" i="22"/>
  <c r="M39" i="22" s="1"/>
  <c r="L40" i="22"/>
  <c r="M40" i="22" s="1"/>
  <c r="L41" i="22"/>
  <c r="M41" i="22" s="1"/>
  <c r="L42" i="22"/>
  <c r="M42" i="22" s="1"/>
  <c r="L43" i="22"/>
  <c r="M43" i="22" s="1"/>
  <c r="L44" i="22"/>
  <c r="M44" i="22" s="1"/>
  <c r="L45" i="22"/>
  <c r="M45" i="22" s="1"/>
  <c r="L46" i="22"/>
  <c r="M46" i="22" s="1"/>
  <c r="L47" i="22"/>
  <c r="M47" i="22" s="1"/>
  <c r="L48" i="22"/>
  <c r="M48" i="22" s="1"/>
  <c r="L49" i="22"/>
  <c r="M49" i="22" s="1"/>
  <c r="L50" i="22"/>
  <c r="M50" i="22" s="1"/>
  <c r="L51" i="22"/>
  <c r="M51" i="22" s="1"/>
  <c r="L52" i="22"/>
  <c r="M52" i="22" s="1"/>
  <c r="L53" i="22"/>
  <c r="M53" i="22" s="1"/>
  <c r="L54" i="22"/>
  <c r="M54" i="22" s="1"/>
  <c r="L55" i="22"/>
  <c r="M55" i="22" s="1"/>
  <c r="L56" i="22"/>
  <c r="M56" i="22" s="1"/>
  <c r="L57" i="22"/>
  <c r="M57" i="22" s="1"/>
  <c r="L58" i="22"/>
  <c r="M58" i="22" s="1"/>
  <c r="L59" i="22"/>
  <c r="M59" i="22" s="1"/>
  <c r="L60" i="22"/>
  <c r="M60" i="22" s="1"/>
  <c r="L61" i="22"/>
  <c r="M61" i="22" s="1"/>
  <c r="L62" i="22"/>
  <c r="M62" i="22" s="1"/>
  <c r="L63" i="22"/>
  <c r="M63" i="22" s="1"/>
  <c r="L64" i="22"/>
  <c r="M64" i="22" s="1"/>
  <c r="L65" i="22"/>
  <c r="M65" i="22" s="1"/>
  <c r="L66" i="22"/>
  <c r="M66" i="22" s="1"/>
  <c r="L67" i="22"/>
  <c r="M67" i="22" s="1"/>
  <c r="L68" i="22"/>
  <c r="M68" i="22" s="1"/>
  <c r="L69" i="22"/>
  <c r="M69" i="22" s="1"/>
  <c r="L70" i="22"/>
  <c r="M70" i="22" s="1"/>
  <c r="L71" i="22"/>
  <c r="M71" i="22" s="1"/>
  <c r="L72" i="22"/>
  <c r="M72" i="22" s="1"/>
  <c r="L73" i="22"/>
  <c r="M73" i="22" s="1"/>
  <c r="L74" i="22"/>
  <c r="M74" i="22" s="1"/>
  <c r="L75" i="22"/>
  <c r="M75" i="22" s="1"/>
  <c r="L76" i="22"/>
  <c r="M76" i="22" s="1"/>
  <c r="L77" i="22"/>
  <c r="M77" i="22" s="1"/>
  <c r="L78" i="22"/>
  <c r="M78" i="22" s="1"/>
  <c r="L79" i="22"/>
  <c r="M79" i="22" s="1"/>
  <c r="L80" i="22"/>
  <c r="M80" i="22" s="1"/>
  <c r="L81" i="22"/>
  <c r="M81" i="22" s="1"/>
  <c r="L82" i="22"/>
  <c r="M82" i="22" s="1"/>
  <c r="L83" i="22"/>
  <c r="M83" i="22" s="1"/>
  <c r="L84" i="22"/>
  <c r="M84" i="22" s="1"/>
  <c r="L85" i="22"/>
  <c r="M85" i="22" s="1"/>
  <c r="L86" i="22"/>
  <c r="M86" i="22" s="1"/>
  <c r="L87" i="22"/>
  <c r="M87" i="22" s="1"/>
  <c r="L88" i="22"/>
  <c r="M88" i="22" s="1"/>
  <c r="L89" i="22"/>
  <c r="M89" i="22" s="1"/>
  <c r="L90" i="22"/>
  <c r="M90" i="22" s="1"/>
  <c r="L91" i="22"/>
  <c r="M91" i="22" s="1"/>
  <c r="L92" i="22"/>
  <c r="M92" i="22" s="1"/>
  <c r="L93" i="22"/>
  <c r="M93" i="22" s="1"/>
  <c r="L94" i="22"/>
  <c r="M94" i="22" s="1"/>
  <c r="L95" i="22"/>
  <c r="M95" i="22" s="1"/>
  <c r="L96" i="22"/>
  <c r="M96" i="22" s="1"/>
  <c r="L97" i="22"/>
  <c r="M97" i="22" s="1"/>
  <c r="L98" i="22"/>
  <c r="M98" i="22" s="1"/>
  <c r="L99" i="22"/>
  <c r="M99" i="22" s="1"/>
  <c r="L100" i="22"/>
  <c r="M100" i="22" s="1"/>
  <c r="L101" i="22"/>
  <c r="M101" i="22" s="1"/>
  <c r="L102" i="22"/>
  <c r="M102" i="22" s="1"/>
  <c r="L103" i="22"/>
  <c r="M103" i="22" s="1"/>
  <c r="L104" i="22"/>
  <c r="M104" i="22" s="1"/>
  <c r="L105" i="22"/>
  <c r="M105" i="22" s="1"/>
  <c r="L106" i="22"/>
  <c r="M106" i="22" s="1"/>
  <c r="L107" i="22"/>
  <c r="M107" i="22" s="1"/>
  <c r="L108" i="22"/>
  <c r="M108" i="22" s="1"/>
  <c r="L109" i="22"/>
  <c r="M109" i="22" s="1"/>
  <c r="L110" i="22"/>
  <c r="M110" i="22" s="1"/>
  <c r="L2" i="22"/>
  <c r="M2" i="22" s="1"/>
  <c r="K4" i="30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W1" i="26"/>
  <c r="W2" i="26"/>
  <c r="W3" i="26"/>
  <c r="W4" i="26"/>
  <c r="W5" i="26"/>
  <c r="W6" i="26"/>
  <c r="W7" i="26"/>
  <c r="W8" i="26"/>
  <c r="W9" i="26"/>
  <c r="W10" i="26"/>
  <c r="W11" i="26"/>
  <c r="W12" i="26"/>
  <c r="W13" i="26"/>
  <c r="W14" i="26"/>
  <c r="W15" i="26"/>
  <c r="W16" i="26"/>
  <c r="W17" i="26"/>
  <c r="V18" i="26"/>
  <c r="V19" i="26"/>
  <c r="V20" i="26"/>
  <c r="V21" i="26"/>
  <c r="V22" i="26"/>
  <c r="W23" i="26"/>
  <c r="W24" i="26"/>
  <c r="W25" i="26"/>
  <c r="W26" i="26"/>
  <c r="W27" i="26"/>
  <c r="W28" i="26"/>
  <c r="W29" i="26"/>
  <c r="W30" i="26"/>
  <c r="W31" i="26"/>
  <c r="W32" i="26"/>
  <c r="W33" i="26"/>
  <c r="W34" i="26"/>
  <c r="W35" i="26"/>
  <c r="W36" i="26"/>
  <c r="W37" i="26"/>
  <c r="W38" i="26"/>
  <c r="W39" i="26"/>
  <c r="W40" i="26"/>
  <c r="W41" i="26"/>
  <c r="W42" i="26"/>
  <c r="W43" i="26"/>
  <c r="W44" i="26"/>
  <c r="W45" i="26"/>
  <c r="W46" i="26"/>
  <c r="W47" i="26"/>
  <c r="W48" i="26"/>
  <c r="W49" i="26"/>
  <c r="W50" i="26"/>
  <c r="W51" i="26"/>
  <c r="W52" i="26"/>
  <c r="W53" i="26"/>
  <c r="W54" i="26"/>
  <c r="W55" i="26"/>
  <c r="W56" i="26"/>
  <c r="W57" i="26"/>
  <c r="W58" i="26"/>
  <c r="W59" i="26"/>
  <c r="W60" i="26"/>
  <c r="W61" i="26"/>
  <c r="W62" i="26"/>
  <c r="W63" i="26"/>
  <c r="W64" i="26"/>
  <c r="W65" i="26"/>
  <c r="W66" i="26"/>
  <c r="W67" i="26"/>
  <c r="W68" i="26"/>
  <c r="W69" i="26"/>
  <c r="W70" i="26"/>
  <c r="W71" i="26"/>
  <c r="W72" i="26"/>
  <c r="W73" i="26"/>
  <c r="W74" i="26"/>
  <c r="W75" i="26"/>
  <c r="W76" i="26"/>
  <c r="W77" i="26"/>
  <c r="W78" i="26"/>
  <c r="W79" i="26"/>
  <c r="W80" i="26"/>
  <c r="W81" i="26"/>
  <c r="W82" i="26"/>
  <c r="W83" i="26"/>
  <c r="W84" i="26"/>
  <c r="W85" i="26"/>
  <c r="W86" i="26"/>
  <c r="W87" i="26"/>
  <c r="W88" i="26"/>
  <c r="W89" i="26"/>
  <c r="W90" i="26"/>
  <c r="W91" i="26"/>
  <c r="W92" i="26"/>
  <c r="W93" i="26"/>
  <c r="W94" i="26"/>
  <c r="W95" i="26"/>
  <c r="W96" i="26"/>
  <c r="W97" i="26"/>
  <c r="W98" i="26"/>
  <c r="W99" i="26"/>
  <c r="W100" i="26"/>
  <c r="U6" i="26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2" i="25"/>
  <c r="K2" i="25"/>
  <c r="J6" i="26" a="1"/>
  <c r="J6" i="26" s="1"/>
  <c r="R1" i="26" a="1"/>
  <c r="R1" i="26" s="1"/>
  <c r="N1" i="26" a="1"/>
  <c r="N1" i="26" s="1"/>
  <c r="J1" i="26" a="1"/>
  <c r="J1" i="26" s="1"/>
  <c r="J2" i="22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U13" i="22" a="1"/>
  <c r="U13" i="22" s="1"/>
  <c r="C13" i="31" l="1"/>
  <c r="C12" i="31"/>
  <c r="C11" i="31"/>
  <c r="B10" i="31"/>
  <c r="C10" i="31"/>
  <c r="B13" i="31"/>
  <c r="B11" i="31"/>
  <c r="B12" i="31"/>
  <c r="AF10" i="22"/>
  <c r="K4" i="29"/>
  <c r="H13" i="26" s="1"/>
  <c r="N4" i="29"/>
  <c r="N2" i="29"/>
  <c r="K2" i="29"/>
  <c r="K4" i="24"/>
  <c r="N2" i="24"/>
  <c r="K2" i="24"/>
  <c r="K3" i="16"/>
  <c r="N3" i="16"/>
  <c r="J11" i="17" s="1"/>
  <c r="F19" i="17"/>
  <c r="F20" i="17"/>
  <c r="F21" i="17"/>
  <c r="F22" i="17"/>
  <c r="F23" i="17"/>
  <c r="F24" i="17"/>
  <c r="F25" i="17"/>
  <c r="F26" i="17"/>
  <c r="F18" i="17"/>
  <c r="E19" i="17"/>
  <c r="E20" i="17"/>
  <c r="E21" i="17"/>
  <c r="E22" i="17"/>
  <c r="E23" i="17"/>
  <c r="E24" i="17"/>
  <c r="E25" i="17"/>
  <c r="E26" i="17"/>
  <c r="E18" i="17"/>
  <c r="D19" i="17"/>
  <c r="D20" i="17"/>
  <c r="D21" i="17"/>
  <c r="D22" i="17"/>
  <c r="D23" i="17"/>
  <c r="D24" i="17"/>
  <c r="D25" i="17"/>
  <c r="D26" i="17"/>
  <c r="D18" i="17"/>
  <c r="C19" i="17"/>
  <c r="C20" i="17"/>
  <c r="C21" i="17"/>
  <c r="C22" i="17"/>
  <c r="C23" i="17"/>
  <c r="C24" i="17"/>
  <c r="C25" i="17"/>
  <c r="C26" i="17"/>
  <c r="C18" i="17"/>
  <c r="B19" i="17"/>
  <c r="B20" i="17"/>
  <c r="B21" i="17"/>
  <c r="B22" i="17"/>
  <c r="B23" i="17"/>
  <c r="B24" i="17"/>
  <c r="B25" i="17"/>
  <c r="B26" i="17"/>
  <c r="B18" i="17"/>
  <c r="K10" i="17" l="1"/>
  <c r="A2" i="17"/>
  <c r="G16" i="16" s="1"/>
  <c r="I21" i="26"/>
  <c r="I22" i="26"/>
  <c r="I20" i="26"/>
  <c r="I19" i="26"/>
  <c r="I16" i="26"/>
  <c r="H16" i="26"/>
  <c r="B5" i="26"/>
  <c r="B4" i="26"/>
  <c r="B2" i="26"/>
  <c r="B3" i="26"/>
  <c r="I13" i="26"/>
  <c r="J13" i="26" s="1" a="1"/>
  <c r="J13" i="26" s="1"/>
  <c r="AG16" i="22"/>
  <c r="AG19" i="22"/>
  <c r="AF19" i="22"/>
  <c r="AJ16" i="22"/>
  <c r="AI16" i="22"/>
  <c r="AH16" i="22"/>
  <c r="AA10" i="22"/>
  <c r="AF16" i="22"/>
  <c r="AA11" i="22"/>
  <c r="AA12" i="22"/>
  <c r="AA13" i="22"/>
  <c r="AA3" i="22"/>
  <c r="AA5" i="22"/>
  <c r="AA2" i="22"/>
  <c r="AA6" i="22"/>
  <c r="AA4" i="22"/>
  <c r="AI19" i="22"/>
  <c r="AF22" i="22" s="1" a="1"/>
  <c r="AF22" i="22" s="1"/>
  <c r="M10" i="17"/>
  <c r="L10" i="17"/>
  <c r="J15" i="17"/>
  <c r="J18" i="17"/>
  <c r="J14" i="17"/>
  <c r="J10" i="17"/>
  <c r="J17" i="17"/>
  <c r="J13" i="17"/>
  <c r="J16" i="17"/>
  <c r="J12" i="17"/>
  <c r="F43" i="17"/>
  <c r="F10" i="17"/>
  <c r="G10" i="17"/>
  <c r="G14" i="17"/>
  <c r="G13" i="17"/>
  <c r="G12" i="17"/>
  <c r="G11" i="17"/>
  <c r="D45" i="17"/>
  <c r="C14" i="17"/>
  <c r="F30" i="17"/>
  <c r="D34" i="17"/>
  <c r="F12" i="17"/>
  <c r="F46" i="17"/>
  <c r="E36" i="17"/>
  <c r="B13" i="17"/>
  <c r="F44" i="17"/>
  <c r="B46" i="17"/>
  <c r="C37" i="17"/>
  <c r="B10" i="17"/>
  <c r="E11" i="17"/>
  <c r="C13" i="17"/>
  <c r="F14" i="17"/>
  <c r="B34" i="17"/>
  <c r="C35" i="17"/>
  <c r="D38" i="17"/>
  <c r="E40" i="17"/>
  <c r="F42" i="17"/>
  <c r="B33" i="17"/>
  <c r="C29" i="17"/>
  <c r="F31" i="17"/>
  <c r="D37" i="17"/>
  <c r="D42" i="17"/>
  <c r="F45" i="17"/>
  <c r="C42" i="17"/>
  <c r="C31" i="17"/>
  <c r="D14" i="17"/>
  <c r="E44" i="17"/>
  <c r="D31" i="17"/>
  <c r="D11" i="17"/>
  <c r="C38" i="17"/>
  <c r="E42" i="17"/>
  <c r="B31" i="17"/>
  <c r="E31" i="17"/>
  <c r="D40" i="17"/>
  <c r="E45" i="17"/>
  <c r="C10" i="17"/>
  <c r="F11" i="17"/>
  <c r="D13" i="17"/>
  <c r="B30" i="17"/>
  <c r="B32" i="17"/>
  <c r="C34" i="17"/>
  <c r="D35" i="17"/>
  <c r="E38" i="17"/>
  <c r="F40" i="17"/>
  <c r="B35" i="17"/>
  <c r="D29" i="17"/>
  <c r="C33" i="17"/>
  <c r="E37" i="17"/>
  <c r="C43" i="17"/>
  <c r="B40" i="17"/>
  <c r="E46" i="17"/>
  <c r="C45" i="17"/>
  <c r="D43" i="17"/>
  <c r="B11" i="17"/>
  <c r="D44" i="17"/>
  <c r="B43" i="17"/>
  <c r="C11" i="17"/>
  <c r="D41" i="17"/>
  <c r="B45" i="17"/>
  <c r="B36" i="17"/>
  <c r="E13" i="17"/>
  <c r="E35" i="17"/>
  <c r="B37" i="17"/>
  <c r="D33" i="17"/>
  <c r="E10" i="17"/>
  <c r="C12" i="17"/>
  <c r="F13" i="17"/>
  <c r="B44" i="17"/>
  <c r="C46" i="17"/>
  <c r="D30" i="17"/>
  <c r="D32" i="17"/>
  <c r="E34" i="17"/>
  <c r="F35" i="17"/>
  <c r="B38" i="17"/>
  <c r="F29" i="17"/>
  <c r="E33" i="17"/>
  <c r="C39" i="17"/>
  <c r="E43" i="17"/>
  <c r="E12" i="17"/>
  <c r="F32" i="17"/>
  <c r="E39" i="17"/>
  <c r="C40" i="17"/>
  <c r="B29" i="17"/>
  <c r="F39" i="17"/>
  <c r="E14" i="17"/>
  <c r="D10" i="17"/>
  <c r="B12" i="17"/>
  <c r="C32" i="17"/>
  <c r="F38" i="17"/>
  <c r="E29" i="17"/>
  <c r="F37" i="17"/>
  <c r="D12" i="17"/>
  <c r="B14" i="17"/>
  <c r="B42" i="17"/>
  <c r="C44" i="17"/>
  <c r="D46" i="17"/>
  <c r="E30" i="17"/>
  <c r="E32" i="17"/>
  <c r="F34" i="17"/>
  <c r="B39" i="17"/>
  <c r="C30" i="17"/>
  <c r="F33" i="17"/>
  <c r="D39" i="17"/>
  <c r="B41" i="17"/>
  <c r="D36" i="17"/>
  <c r="E41" i="17"/>
  <c r="F41" i="17"/>
  <c r="F36" i="17"/>
  <c r="C41" i="17"/>
  <c r="C36" i="17"/>
  <c r="J16" i="26" l="1" a="1"/>
  <c r="J16" i="26" s="1"/>
  <c r="G19" i="24"/>
  <c r="AI22" i="22"/>
  <c r="AJ23" i="22" s="1"/>
  <c r="AH19" i="22"/>
  <c r="D2" i="17"/>
  <c r="E3" i="17" s="1"/>
  <c r="N21" i="29" l="1"/>
  <c r="A22" i="26"/>
  <c r="D22" i="26" s="1"/>
  <c r="E23" i="26" s="1"/>
  <c r="AK23" i="22"/>
  <c r="F3" i="17"/>
  <c r="K13" i="26"/>
  <c r="A13" i="26"/>
  <c r="F23" i="26" l="1"/>
  <c r="D13" i="26"/>
  <c r="F14" i="26" s="1"/>
  <c r="A15" i="26"/>
  <c r="J21" i="29" l="1"/>
  <c r="E14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4D15C3-1B76-4017-AF07-2D7867B464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A9A17D1-18CE-470D-B434-68FC7EFC9FCC}" name="WorksheetConnection_zomato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zomato.xlsx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<sst xmlns="http://schemas.openxmlformats.org/spreadsheetml/2006/main" count="1333" uniqueCount="113">
  <si>
    <t>Italian</t>
  </si>
  <si>
    <t>Chennai</t>
  </si>
  <si>
    <t>Hyderabad</t>
  </si>
  <si>
    <t>Indore</t>
  </si>
  <si>
    <t>Kochi</t>
  </si>
  <si>
    <t>Lucknow</t>
  </si>
  <si>
    <t>Mumbai</t>
  </si>
  <si>
    <t>New Delhi</t>
  </si>
  <si>
    <t>Vizag</t>
  </si>
  <si>
    <t>Financial Year</t>
  </si>
  <si>
    <t>Average Delivery Time</t>
  </si>
  <si>
    <t>Chart Value</t>
  </si>
  <si>
    <t>Max</t>
  </si>
  <si>
    <t>Slices</t>
  </si>
  <si>
    <t>Degrees</t>
  </si>
  <si>
    <t>X-Values</t>
  </si>
  <si>
    <t>Y-Values</t>
  </si>
  <si>
    <t>Select Year</t>
  </si>
  <si>
    <t>Location</t>
  </si>
  <si>
    <t>Bengaluru</t>
  </si>
  <si>
    <t>Gross Order Value</t>
  </si>
  <si>
    <t>Deliveries</t>
  </si>
  <si>
    <t>Restaurant Partners</t>
  </si>
  <si>
    <t>Aggregate Rating</t>
  </si>
  <si>
    <t>Select City</t>
  </si>
  <si>
    <t>Cities</t>
  </si>
  <si>
    <t>2019</t>
  </si>
  <si>
    <t>2020</t>
  </si>
  <si>
    <t>2021</t>
  </si>
  <si>
    <t>2022</t>
  </si>
  <si>
    <t>2023</t>
  </si>
  <si>
    <t>NA</t>
  </si>
  <si>
    <t>Restaurant Retention Rate</t>
  </si>
  <si>
    <t>Retention Rate</t>
  </si>
  <si>
    <t>Year</t>
  </si>
  <si>
    <t>Q1</t>
  </si>
  <si>
    <t>Q2</t>
  </si>
  <si>
    <t>Q3</t>
  </si>
  <si>
    <t>Q4</t>
  </si>
  <si>
    <t>Region</t>
  </si>
  <si>
    <t>Cuisine</t>
  </si>
  <si>
    <t>Chinese</t>
  </si>
  <si>
    <t>North</t>
  </si>
  <si>
    <t>Japanese</t>
  </si>
  <si>
    <t>West</t>
  </si>
  <si>
    <t>South</t>
  </si>
  <si>
    <t>Indian</t>
  </si>
  <si>
    <t>Mexican</t>
  </si>
  <si>
    <t>Thai</t>
  </si>
  <si>
    <t>East</t>
  </si>
  <si>
    <t>Number of Orders</t>
  </si>
  <si>
    <t>Revenue</t>
  </si>
  <si>
    <t>New Onboard Restaurants</t>
  </si>
  <si>
    <t>Customer Rating</t>
  </si>
  <si>
    <t>Quarter</t>
  </si>
  <si>
    <t>Quarters</t>
  </si>
  <si>
    <t>Company</t>
  </si>
  <si>
    <t>Zomato</t>
  </si>
  <si>
    <t>Swiggy</t>
  </si>
  <si>
    <t>Uber</t>
  </si>
  <si>
    <t xml:space="preserve"> Quarters</t>
  </si>
  <si>
    <t xml:space="preserve">Zomato </t>
  </si>
  <si>
    <t>swiggy</t>
  </si>
  <si>
    <t>Average Order Value</t>
  </si>
  <si>
    <t>AOV</t>
  </si>
  <si>
    <t>Business and Sales Department</t>
  </si>
  <si>
    <t>OPERATIONS DEPARTMENT</t>
  </si>
  <si>
    <t>NPS</t>
  </si>
  <si>
    <t>Detractors</t>
  </si>
  <si>
    <t>Promoters</t>
  </si>
  <si>
    <t>Issue Resolution Rate (%)</t>
  </si>
  <si>
    <t>Issues Resolved</t>
  </si>
  <si>
    <t>Issues Reported</t>
  </si>
  <si>
    <t>Customer Retention Rate (%)</t>
  </si>
  <si>
    <t>Customers End</t>
  </si>
  <si>
    <t>New Customers Acquired</t>
  </si>
  <si>
    <t>Customers Start</t>
  </si>
  <si>
    <t>Response Time (minutes)</t>
  </si>
  <si>
    <t>Inquiry Time</t>
  </si>
  <si>
    <t>Time Period</t>
  </si>
  <si>
    <t>Geographic Location</t>
  </si>
  <si>
    <t>Night</t>
  </si>
  <si>
    <t>Occasional</t>
  </si>
  <si>
    <t>Morning</t>
  </si>
  <si>
    <t>First-time</t>
  </si>
  <si>
    <t>Regular</t>
  </si>
  <si>
    <t>Evening</t>
  </si>
  <si>
    <t>Afternoon</t>
  </si>
  <si>
    <t>Social Media</t>
  </si>
  <si>
    <t>Customer Service Portal</t>
  </si>
  <si>
    <t>Email</t>
  </si>
  <si>
    <t>Time of Response</t>
  </si>
  <si>
    <t>Response Time(minutes)</t>
  </si>
  <si>
    <t xml:space="preserve"> Channel</t>
  </si>
  <si>
    <t>Channel</t>
  </si>
  <si>
    <t xml:space="preserve"> Segment</t>
  </si>
  <si>
    <t>Segment</t>
  </si>
  <si>
    <t>Customer Retention Score</t>
  </si>
  <si>
    <t>Net Promoter Score</t>
  </si>
  <si>
    <t>Net Promoter Score %</t>
  </si>
  <si>
    <t>Customer Retention Rate%</t>
  </si>
  <si>
    <t>Issues resolved</t>
  </si>
  <si>
    <t>east</t>
  </si>
  <si>
    <t>Customer Experience</t>
  </si>
  <si>
    <t>Expenses</t>
  </si>
  <si>
    <t>Net Income</t>
  </si>
  <si>
    <t>Margin</t>
  </si>
  <si>
    <t>CashFlow</t>
  </si>
  <si>
    <t>Negative</t>
  </si>
  <si>
    <t>Positive</t>
  </si>
  <si>
    <t>Netincome</t>
  </si>
  <si>
    <t>quarter</t>
  </si>
  <si>
    <t>Financials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</si>
</sst>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Calibri"/>
      <family val="2"/>
    </font>
    <font>
      <b/>
      <sz val="18"/>
      <color theme="0"/>
      <name val="Cascadia Code"/>
      <family val="3"/>
    </font>
    <font>
      <b/>
      <sz val="28"/>
      <color theme="0"/>
      <name val="Calibri"/>
      <family val="2"/>
    </font>
    <font>
      <b/>
      <i/>
      <sz val="12"/>
      <color theme="0"/>
      <name val="Calibri"/>
      <family val="2"/>
    </font>
    <font>
      <sz val="8"/>
      <name val="Aptos Narrow"/>
      <family val="2"/>
      <scheme val="minor"/>
    </font>
    <font>
      <b/>
      <sz val="14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0"/>
      <name val="Cascadia Code"/>
      <family val="3"/>
    </font>
    <font>
      <b/>
      <sz val="16"/>
      <color theme="0"/>
      <name val="Cascadia Code"/>
      <family val="3"/>
    </font>
    <font>
      <b/>
      <sz val="24"/>
      <color theme="1"/>
      <name val="Cascadia Code"/>
      <family val="3"/>
    </font>
    <font>
      <b/>
      <sz val="18"/>
      <color theme="1"/>
      <name val="Cascadia Code"/>
      <family val="3"/>
    </font>
    <font>
      <b/>
      <sz val="36"/>
      <color theme="1"/>
      <name val="Cascadia Code"/>
      <family val="3"/>
    </font>
    <font>
      <sz val="16"/>
      <color theme="0"/>
      <name val="Aptos Narrow"/>
      <family val="2"/>
      <scheme val="minor"/>
    </font>
    <font>
      <sz val="12"/>
      <color theme="0"/>
      <name val="Cascadia Code"/>
      <family val="3"/>
    </font>
    <font>
      <b/>
      <sz val="72"/>
      <color theme="0"/>
      <name val="Calibri"/>
      <family val="2"/>
    </font>
    <font>
      <sz val="72"/>
      <color theme="1"/>
      <name val="Aptos Narrow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-0.499984740745262"/>
      </left>
      <right/>
      <top/>
      <bottom/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13" fillId="33" borderId="11" xfId="0" applyFont="1" applyFill="1" applyBorder="1" applyAlignment="1">
      <alignment horizontal="center"/>
    </xf>
    <xf numFmtId="0" fontId="13" fillId="33" borderId="10" xfId="0" applyFont="1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34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34" borderId="13" xfId="0" applyFill="1" applyBorder="1" applyAlignment="1">
      <alignment horizontal="center"/>
    </xf>
    <xf numFmtId="9" fontId="0" fillId="0" borderId="0" xfId="42" applyFont="1"/>
    <xf numFmtId="9" fontId="0" fillId="0" borderId="0" xfId="42" applyFont="1" applyAlignment="1">
      <alignment horizontal="center"/>
    </xf>
    <xf numFmtId="0" fontId="13" fillId="33" borderId="12" xfId="0" applyFont="1" applyFill="1" applyBorder="1" applyAlignment="1">
      <alignment horizontal="center"/>
    </xf>
    <xf numFmtId="9" fontId="0" fillId="34" borderId="11" xfId="42" applyFont="1" applyFill="1" applyBorder="1" applyAlignment="1">
      <alignment horizontal="center"/>
    </xf>
    <xf numFmtId="9" fontId="0" fillId="0" borderId="11" xfId="42" applyFont="1" applyBorder="1" applyAlignment="1">
      <alignment horizontal="center"/>
    </xf>
    <xf numFmtId="9" fontId="0" fillId="34" borderId="10" xfId="42" applyFont="1" applyFill="1" applyBorder="1" applyAlignment="1">
      <alignment horizontal="center"/>
    </xf>
    <xf numFmtId="9" fontId="0" fillId="0" borderId="10" xfId="42" applyFont="1" applyBorder="1" applyAlignment="1">
      <alignment horizontal="center"/>
    </xf>
    <xf numFmtId="0" fontId="20" fillId="38" borderId="0" xfId="0" applyFont="1" applyFill="1"/>
    <xf numFmtId="0" fontId="17" fillId="39" borderId="0" xfId="0" applyFont="1" applyFill="1"/>
    <xf numFmtId="0" fontId="23" fillId="39" borderId="0" xfId="0" applyFont="1" applyFill="1"/>
    <xf numFmtId="0" fontId="0" fillId="39" borderId="0" xfId="0" applyFill="1"/>
    <xf numFmtId="0" fontId="0" fillId="38" borderId="0" xfId="0" applyFill="1"/>
    <xf numFmtId="0" fontId="0" fillId="38" borderId="0" xfId="0" applyFill="1" applyAlignment="1">
      <alignment horizontal="center"/>
    </xf>
    <xf numFmtId="0" fontId="0" fillId="37" borderId="0" xfId="0" applyFill="1"/>
    <xf numFmtId="0" fontId="17" fillId="37" borderId="0" xfId="0" applyFont="1" applyFill="1"/>
    <xf numFmtId="0" fontId="18" fillId="35" borderId="0" xfId="0" applyFont="1" applyFill="1"/>
    <xf numFmtId="2" fontId="18" fillId="36" borderId="0" xfId="0" applyNumberFormat="1" applyFont="1" applyFill="1"/>
    <xf numFmtId="0" fontId="19" fillId="0" borderId="0" xfId="0" applyFont="1"/>
    <xf numFmtId="9" fontId="19" fillId="0" borderId="0" xfId="0" applyNumberFormat="1" applyFont="1"/>
    <xf numFmtId="2" fontId="0" fillId="0" borderId="0" xfId="0" applyNumberFormat="1" applyAlignment="1">
      <alignment horizontal="center"/>
    </xf>
    <xf numFmtId="0" fontId="16" fillId="0" borderId="14" xfId="0" applyFont="1" applyBorder="1" applyAlignment="1">
      <alignment horizontal="center" vertical="top"/>
    </xf>
    <xf numFmtId="2" fontId="0" fillId="34" borderId="11" xfId="0" applyNumberFormat="1" applyFill="1" applyBorder="1" applyAlignment="1">
      <alignment horizontal="center"/>
    </xf>
    <xf numFmtId="2" fontId="0" fillId="40" borderId="15" xfId="0" applyNumberFormat="1" applyFill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0" xfId="0" applyNumberFormat="1"/>
    <xf numFmtId="0" fontId="13" fillId="33" borderId="0" xfId="0" applyFont="1" applyFill="1" applyAlignment="1">
      <alignment horizontal="center"/>
    </xf>
    <xf numFmtId="44" fontId="0" fillId="0" borderId="0" xfId="43" applyFont="1" applyAlignment="1">
      <alignment horizontal="center"/>
    </xf>
    <xf numFmtId="44" fontId="0" fillId="0" borderId="0" xfId="43" applyFont="1" applyBorder="1" applyAlignment="1">
      <alignment horizontal="center"/>
    </xf>
    <xf numFmtId="44" fontId="0" fillId="0" borderId="0" xfId="43" applyFont="1" applyAlignment="1"/>
    <xf numFmtId="44" fontId="0" fillId="0" borderId="0" xfId="43" applyFont="1" applyBorder="1" applyAlignment="1"/>
    <xf numFmtId="2" fontId="19" fillId="0" borderId="0" xfId="0" applyNumberFormat="1" applyFont="1"/>
    <xf numFmtId="0" fontId="0" fillId="42" borderId="0" xfId="0" applyFill="1"/>
    <xf numFmtId="0" fontId="26" fillId="42" borderId="0" xfId="0" applyFont="1" applyFill="1"/>
    <xf numFmtId="0" fontId="27" fillId="42" borderId="0" xfId="0" applyFont="1" applyFill="1"/>
    <xf numFmtId="0" fontId="28" fillId="38" borderId="0" xfId="0" applyFont="1" applyFill="1" applyAlignment="1">
      <alignment horizontal="center"/>
    </xf>
    <xf numFmtId="0" fontId="25" fillId="38" borderId="0" xfId="0" applyFont="1" applyFill="1" applyAlignment="1">
      <alignment horizontal="center"/>
    </xf>
    <xf numFmtId="0" fontId="26" fillId="42" borderId="0" xfId="0" applyFont="1" applyFill="1" applyAlignment="1">
      <alignment horizontal="right"/>
    </xf>
    <xf numFmtId="0" fontId="0" fillId="41" borderId="0" xfId="0" applyFill="1"/>
    <xf numFmtId="0" fontId="0" fillId="44" borderId="0" xfId="0" applyFill="1"/>
    <xf numFmtId="0" fontId="29" fillId="44" borderId="0" xfId="0" applyFont="1" applyFill="1" applyAlignment="1">
      <alignment horizontal="center" vertical="center"/>
    </xf>
    <xf numFmtId="2" fontId="31" fillId="44" borderId="17" xfId="0" applyNumberFormat="1" applyFont="1" applyFill="1" applyBorder="1" applyAlignment="1">
      <alignment vertical="center"/>
    </xf>
    <xf numFmtId="2" fontId="31" fillId="44" borderId="18" xfId="0" applyNumberFormat="1" applyFont="1" applyFill="1" applyBorder="1" applyAlignment="1">
      <alignment vertical="center"/>
    </xf>
    <xf numFmtId="47" fontId="0" fillId="0" borderId="0" xfId="0" applyNumberFormat="1" applyAlignment="1">
      <alignment horizontal="center"/>
    </xf>
    <xf numFmtId="0" fontId="0" fillId="47" borderId="0" xfId="0" applyFill="1"/>
    <xf numFmtId="0" fontId="26" fillId="47" borderId="0" xfId="0" applyFont="1" applyFill="1" applyAlignment="1">
      <alignment horizontal="right"/>
    </xf>
    <xf numFmtId="0" fontId="26" fillId="47" borderId="0" xfId="0" applyFont="1" applyFill="1"/>
    <xf numFmtId="0" fontId="27" fillId="47" borderId="0" xfId="0" applyFont="1" applyFill="1"/>
    <xf numFmtId="0" fontId="0" fillId="48" borderId="0" xfId="0" applyFill="1"/>
    <xf numFmtId="0" fontId="29" fillId="48" borderId="0" xfId="0" applyFont="1" applyFill="1" applyAlignment="1">
      <alignment horizontal="center" vertical="center"/>
    </xf>
    <xf numFmtId="0" fontId="0" fillId="49" borderId="0" xfId="0" applyFill="1"/>
    <xf numFmtId="2" fontId="31" fillId="48" borderId="0" xfId="0" applyNumberFormat="1" applyFont="1" applyFill="1" applyAlignment="1">
      <alignment vertical="center"/>
    </xf>
    <xf numFmtId="9" fontId="0" fillId="0" borderId="0" xfId="0" applyNumberFormat="1"/>
    <xf numFmtId="2" fontId="0" fillId="0" borderId="0" xfId="42" applyNumberFormat="1" applyFont="1"/>
    <xf numFmtId="2" fontId="18" fillId="36" borderId="0" xfId="42" applyNumberFormat="1" applyFont="1" applyFill="1"/>
    <xf numFmtId="0" fontId="0" fillId="45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" fontId="18" fillId="36" borderId="0" xfId="0" applyNumberFormat="1" applyFont="1" applyFill="1"/>
    <xf numFmtId="0" fontId="0" fillId="50" borderId="0" xfId="0" applyFill="1"/>
    <xf numFmtId="0" fontId="0" fillId="52" borderId="0" xfId="0" applyFill="1"/>
    <xf numFmtId="0" fontId="26" fillId="52" borderId="0" xfId="0" applyFont="1" applyFill="1"/>
    <xf numFmtId="0" fontId="26" fillId="52" borderId="0" xfId="0" applyFont="1" applyFill="1" applyAlignment="1">
      <alignment horizontal="right"/>
    </xf>
    <xf numFmtId="0" fontId="27" fillId="52" borderId="0" xfId="0" applyFont="1" applyFill="1"/>
    <xf numFmtId="0" fontId="0" fillId="53" borderId="0" xfId="0" applyFill="1"/>
    <xf numFmtId="0" fontId="0" fillId="54" borderId="0" xfId="0" applyFill="1"/>
    <xf numFmtId="44" fontId="0" fillId="40" borderId="15" xfId="43" applyFont="1" applyFill="1" applyBorder="1" applyAlignment="1">
      <alignment horizontal="center"/>
    </xf>
    <xf numFmtId="44" fontId="0" fillId="40" borderId="20" xfId="43" applyFont="1" applyFill="1" applyBorder="1" applyAlignment="1">
      <alignment horizontal="center"/>
    </xf>
    <xf numFmtId="44" fontId="0" fillId="0" borderId="15" xfId="43" applyFont="1" applyBorder="1" applyAlignment="1">
      <alignment horizontal="center"/>
    </xf>
    <xf numFmtId="44" fontId="0" fillId="0" borderId="20" xfId="43" applyFont="1" applyBorder="1" applyAlignment="1">
      <alignment horizontal="center"/>
    </xf>
    <xf numFmtId="164" fontId="0" fillId="0" borderId="0" xfId="43" applyNumberFormat="1" applyFont="1" applyAlignment="1">
      <alignment horizontal="center"/>
    </xf>
    <xf numFmtId="2" fontId="31" fillId="54" borderId="0" xfId="0" applyNumberFormat="1" applyFont="1" applyFill="1" applyAlignment="1">
      <alignment vertical="center"/>
    </xf>
    <xf numFmtId="0" fontId="29" fillId="5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22" fillId="39" borderId="0" xfId="0" applyFont="1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2" fontId="21" fillId="39" borderId="0" xfId="0" applyNumberFormat="1" applyFont="1" applyFill="1" applyAlignment="1">
      <alignment horizontal="center" vertical="center"/>
    </xf>
    <xf numFmtId="0" fontId="22" fillId="43" borderId="0" xfId="0" applyFont="1" applyFill="1" applyAlignment="1">
      <alignment horizontal="center" vertical="center"/>
    </xf>
    <xf numFmtId="0" fontId="0" fillId="43" borderId="0" xfId="0" applyFill="1" applyAlignment="1">
      <alignment horizontal="center" vertical="center"/>
    </xf>
    <xf numFmtId="44" fontId="32" fillId="44" borderId="0" xfId="43" applyFont="1" applyFill="1" applyBorder="1" applyAlignment="1">
      <alignment horizontal="center" vertical="center"/>
    </xf>
    <xf numFmtId="0" fontId="22" fillId="46" borderId="0" xfId="0" applyFont="1" applyFill="1" applyAlignment="1">
      <alignment horizontal="center" vertical="center"/>
    </xf>
    <xf numFmtId="0" fontId="0" fillId="46" borderId="0" xfId="0" applyFill="1" applyAlignment="1">
      <alignment horizontal="center" vertical="center"/>
    </xf>
    <xf numFmtId="44" fontId="32" fillId="48" borderId="0" xfId="43" applyFont="1" applyFill="1" applyBorder="1" applyAlignment="1">
      <alignment horizontal="center" vertical="center"/>
    </xf>
    <xf numFmtId="0" fontId="29" fillId="46" borderId="0" xfId="0" applyFont="1" applyFill="1" applyAlignment="1">
      <alignment horizontal="center" vertical="center"/>
    </xf>
    <xf numFmtId="0" fontId="35" fillId="46" borderId="0" xfId="0" applyFont="1" applyFill="1" applyAlignment="1">
      <alignment horizontal="center" vertical="center"/>
    </xf>
    <xf numFmtId="2" fontId="33" fillId="49" borderId="0" xfId="0" applyNumberFormat="1" applyFont="1" applyFill="1" applyAlignment="1">
      <alignment horizontal="center" vertical="center"/>
    </xf>
    <xf numFmtId="0" fontId="33" fillId="49" borderId="0" xfId="0" applyFont="1" applyFill="1" applyAlignment="1">
      <alignment horizontal="center" vertical="center"/>
    </xf>
    <xf numFmtId="0" fontId="30" fillId="46" borderId="0" xfId="0" applyFont="1" applyFill="1" applyAlignment="1">
      <alignment horizontal="center" vertical="center"/>
    </xf>
    <xf numFmtId="0" fontId="34" fillId="46" borderId="0" xfId="0" applyFont="1" applyFill="1" applyAlignment="1">
      <alignment horizontal="center" vertical="center"/>
    </xf>
    <xf numFmtId="0" fontId="36" fillId="51" borderId="0" xfId="0" applyFont="1" applyFill="1" applyAlignment="1">
      <alignment horizontal="center" vertical="center"/>
    </xf>
    <xf numFmtId="0" fontId="37" fillId="51" borderId="0" xfId="0" applyFont="1" applyFill="1" applyAlignment="1">
      <alignment horizontal="center" vertical="center"/>
    </xf>
    <xf numFmtId="0" fontId="29" fillId="53" borderId="0" xfId="0" applyFont="1" applyFill="1" applyAlignment="1">
      <alignment horizontal="center" vertical="center"/>
    </xf>
    <xf numFmtId="0" fontId="35" fillId="53" borderId="0" xfId="0" applyFont="1" applyFill="1" applyAlignment="1">
      <alignment horizontal="center" vertical="center"/>
    </xf>
    <xf numFmtId="0" fontId="30" fillId="53" borderId="0" xfId="0" applyFont="1" applyFill="1" applyAlignment="1">
      <alignment horizontal="center" vertical="center"/>
    </xf>
    <xf numFmtId="0" fontId="34" fillId="53" borderId="0" xfId="0" applyFont="1" applyFill="1" applyAlignment="1">
      <alignment horizontal="center" vertical="center"/>
    </xf>
    <xf numFmtId="44" fontId="32" fillId="54" borderId="0" xfId="43" applyFont="1" applyFill="1" applyBorder="1" applyAlignment="1">
      <alignment horizontal="center" vertical="center"/>
    </xf>
    <xf numFmtId="2" fontId="33" fillId="53" borderId="0" xfId="0" applyNumberFormat="1" applyFont="1" applyFill="1" applyAlignment="1">
      <alignment horizontal="center" vertical="center"/>
    </xf>
    <xf numFmtId="0" fontId="33" fillId="53" borderId="0" xfId="0" applyFont="1" applyFill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3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9" formatCode="mm:ss.0"/>
      <alignment horizontal="center" vertical="bottom" textRotation="0" wrapText="0" indent="0" justifyLastLine="0" shrinkToFit="0" readingOrder="0"/>
    </dxf>
    <dxf>
      <numFmt numFmtId="29" formatCode="mm:ss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4AF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Customer Experience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'Transformed data'!$C$9</c:f>
              <c:strCache>
                <c:ptCount val="1"/>
                <c:pt idx="0">
                  <c:v>Average Delivery Time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'Transformed data'!$A$10:$A$14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'Transformed data'!$C$10:$C$14</c:f>
              <c:numCache>
                <c:formatCode>General</c:formatCode>
                <c:ptCount val="5"/>
                <c:pt idx="0">
                  <c:v>27</c:v>
                </c:pt>
                <c:pt idx="1">
                  <c:v>10</c:v>
                </c:pt>
                <c:pt idx="2">
                  <c:v>18</c:v>
                </c:pt>
                <c:pt idx="3">
                  <c:v>44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D7-4E93-B6D6-454E8EE9A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921312"/>
        <c:axId val="77292515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'Transformed data'!$A$9</c15:sqref>
                        </c15:formulaRef>
                      </c:ext>
                    </c:extLst>
                    <c:strCache>
                      <c:ptCount val="1"/>
                      <c:pt idx="0">
                        <c:v>Financial 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'Transformed data'!$A$10:$A$14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2019</c:v>
                      </c:pt>
                      <c:pt idx="1">
                        <c:v>2020</c:v>
                      </c:pt>
                      <c:pt idx="2">
                        <c:v>2021</c:v>
                      </c:pt>
                      <c:pt idx="3">
                        <c:v>2022</c:v>
                      </c:pt>
                      <c:pt idx="4">
                        <c:v>2023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'Transformed data'!$A$10:$A$14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2019</c:v>
                      </c:pt>
                      <c:pt idx="1">
                        <c:v>2020</c:v>
                      </c:pt>
                      <c:pt idx="2">
                        <c:v>2021</c:v>
                      </c:pt>
                      <c:pt idx="3">
                        <c:v>2022</c:v>
                      </c:pt>
                      <c:pt idx="4">
                        <c:v>2023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8D7-4E93-B6D6-454E8EE9AC9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data'!$B$9</c15:sqref>
                        </c15:formulaRef>
                      </c:ext>
                    </c:extLst>
                    <c:strCache>
                      <c:ptCount val="1"/>
                      <c:pt idx="0">
                        <c:v>Gross Order Value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data'!$A$10:$A$14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2019</c:v>
                      </c:pt>
                      <c:pt idx="1">
                        <c:v>2020</c:v>
                      </c:pt>
                      <c:pt idx="2">
                        <c:v>2021</c:v>
                      </c:pt>
                      <c:pt idx="3">
                        <c:v>2022</c:v>
                      </c:pt>
                      <c:pt idx="4">
                        <c:v>2023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data'!$B$10:$B$14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386</c:v>
                      </c:pt>
                      <c:pt idx="1">
                        <c:v>159</c:v>
                      </c:pt>
                      <c:pt idx="2">
                        <c:v>664</c:v>
                      </c:pt>
                      <c:pt idx="3">
                        <c:v>787</c:v>
                      </c:pt>
                      <c:pt idx="4">
                        <c:v>930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8D7-4E93-B6D6-454E8EE9AC9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data'!$D$9</c15:sqref>
                        </c15:formulaRef>
                      </c:ext>
                    </c:extLst>
                    <c:strCache>
                      <c:ptCount val="1"/>
                      <c:pt idx="0">
                        <c:v>Deliveries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data'!$A$10:$A$14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2019</c:v>
                      </c:pt>
                      <c:pt idx="1">
                        <c:v>2020</c:v>
                      </c:pt>
                      <c:pt idx="2">
                        <c:v>2021</c:v>
                      </c:pt>
                      <c:pt idx="3">
                        <c:v>2022</c:v>
                      </c:pt>
                      <c:pt idx="4">
                        <c:v>2023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data'!$D$10:$D$14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82005</c:v>
                      </c:pt>
                      <c:pt idx="1">
                        <c:v>10691</c:v>
                      </c:pt>
                      <c:pt idx="2">
                        <c:v>90569</c:v>
                      </c:pt>
                      <c:pt idx="3">
                        <c:v>14895</c:v>
                      </c:pt>
                      <c:pt idx="4">
                        <c:v>49766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8D7-4E93-B6D6-454E8EE9AC97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data'!$E$9</c15:sqref>
                        </c15:formulaRef>
                      </c:ext>
                    </c:extLst>
                    <c:strCache>
                      <c:ptCount val="1"/>
                      <c:pt idx="0">
                        <c:v>Restaurant Partners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data'!$A$10:$A$14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2019</c:v>
                      </c:pt>
                      <c:pt idx="1">
                        <c:v>2020</c:v>
                      </c:pt>
                      <c:pt idx="2">
                        <c:v>2021</c:v>
                      </c:pt>
                      <c:pt idx="3">
                        <c:v>2022</c:v>
                      </c:pt>
                      <c:pt idx="4">
                        <c:v>2023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'Transformed data'!$E$10:$E$14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16899</c:v>
                      </c:pt>
                      <c:pt idx="1">
                        <c:v>5949</c:v>
                      </c:pt>
                      <c:pt idx="2">
                        <c:v>25700</c:v>
                      </c:pt>
                      <c:pt idx="3">
                        <c:v>22371</c:v>
                      </c:pt>
                      <c:pt idx="4">
                        <c:v>15940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8D7-4E93-B6D6-454E8EE9AC97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'Transformed data'!$F$9</c:f>
              <c:strCache>
                <c:ptCount val="1"/>
                <c:pt idx="0">
                  <c:v>Aggregate Rating</c:v>
                </c:pt>
              </c:strCache>
            </c:strRef>
          </c:tx>
          <c:spPr>
            <a:ln w="28575" cap="rnd" cmpd="sng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'Transformed data'!$A$10:$A$14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'Transformed data'!$F$10:$F$14</c:f>
              <c:numCache>
                <c:formatCode>General</c:formatCode>
                <c:ptCount val="5"/>
                <c:pt idx="0">
                  <c:v>4.3</c:v>
                </c:pt>
                <c:pt idx="1">
                  <c:v>3.9</c:v>
                </c:pt>
                <c:pt idx="2">
                  <c:v>4.3</c:v>
                </c:pt>
                <c:pt idx="3">
                  <c:v>4.3</c:v>
                </c:pt>
                <c:pt idx="4">
                  <c:v>3.3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8D7-4E93-B6D6-454E8EE9A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74528"/>
        <c:axId val="68075008"/>
      </c:lineChart>
      <c:catAx>
        <c:axId val="77292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25152"/>
        <c:crosses val="autoZero"/>
        <c:auto val="1"/>
        <c:lblAlgn val="ctr"/>
        <c:lblOffset val="100"/>
        <c:noMultiLvlLbl val="0"/>
      </c:catAx>
      <c:valAx>
        <c:axId val="77292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>
                    <a:solidFill>
                      <a:schemeClr val="tx1"/>
                    </a:solidFill>
                  </a:rPr>
                  <a:t>Average Delivery Time</a:t>
                </a:r>
              </a:p>
            </c:rich>
          </c:tx>
          <c:overlay val="0"/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21312"/>
        <c:crosses val="autoZero"/>
        <c:crossBetween val="between"/>
      </c:valAx>
      <c:valAx>
        <c:axId val="680750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Aggregate Ratings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74528"/>
        <c:crosses val="max"/>
        <c:crossBetween val="between"/>
      </c:valAx>
      <c:catAx>
        <c:axId val="68074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8075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Number of Deliveries in a Financial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ND(D)</c:v>
          </c:tx>
          <c:spPr>
            <a:solidFill>
              <a:schemeClr val="tx1"/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data'!$B$29:$F$29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84-4DE3-9D0E-BF16112C84B0}"/>
            </c:ext>
          </c:extLst>
        </c:ser>
        <c:ser>
          <c:idx val="1"/>
          <c:order val="1"/>
          <c:tx>
            <c:v>NDS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data'!$B$30:$F$30</c:f>
              <c:numCache>
                <c:formatCode>General</c:formatCode>
                <c:ptCount val="5"/>
                <c:pt idx="0">
                  <c:v>16455</c:v>
                </c:pt>
                <c:pt idx="1">
                  <c:v>19494</c:v>
                </c:pt>
                <c:pt idx="2">
                  <c:v>72833</c:v>
                </c:pt>
                <c:pt idx="3">
                  <c:v>36974</c:v>
                </c:pt>
                <c:pt idx="4">
                  <c:v>65359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84-4DE3-9D0E-BF16112C84B0}"/>
            </c:ext>
          </c:extLst>
        </c:ser>
        <c:ser>
          <c:idx val="2"/>
          <c:order val="2"/>
          <c:spPr>
            <a:solidFill>
              <a:schemeClr val="tx2">
                <a:lumMod val="75000"/>
                <a:lumOff val="25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data'!$B$31:$F$31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84-4DE3-9D0E-BF16112C84B0}"/>
            </c:ext>
          </c:extLst>
        </c:ser>
        <c:ser>
          <c:idx val="3"/>
          <c:order val="3"/>
          <c:tx>
            <c:v>HYDS</c:v>
          </c:tx>
          <c:spPr>
            <a:solidFill>
              <a:schemeClr val="tx2">
                <a:lumMod val="10000"/>
                <a:lumOff val="9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data'!$B$32:$F$32</c:f>
              <c:numCache>
                <c:formatCode>General</c:formatCode>
                <c:ptCount val="5"/>
                <c:pt idx="0">
                  <c:v>63012</c:v>
                </c:pt>
                <c:pt idx="1">
                  <c:v>44512</c:v>
                </c:pt>
                <c:pt idx="2">
                  <c:v>37894</c:v>
                </c:pt>
                <c:pt idx="3">
                  <c:v>75321</c:v>
                </c:pt>
                <c:pt idx="4">
                  <c:v>57028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84-4DE3-9D0E-BF16112C84B0}"/>
            </c:ext>
          </c:extLst>
        </c:ser>
        <c:ser>
          <c:idx val="4"/>
          <c:order val="4"/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data'!$B$33:$F$33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84-4DE3-9D0E-BF16112C84B0}"/>
            </c:ext>
          </c:extLst>
        </c:ser>
        <c:ser>
          <c:idx val="5"/>
          <c:order val="5"/>
          <c:spPr>
            <a:solidFill>
              <a:schemeClr val="accent2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data'!$B$34:$F$34</c:f>
              <c:numCache>
                <c:formatCode>General</c:formatCode>
                <c:ptCount val="5"/>
                <c:pt idx="0">
                  <c:v>18149</c:v>
                </c:pt>
                <c:pt idx="1">
                  <c:v>99094</c:v>
                </c:pt>
                <c:pt idx="2">
                  <c:v>21038</c:v>
                </c:pt>
                <c:pt idx="3">
                  <c:v>94670</c:v>
                </c:pt>
                <c:pt idx="4">
                  <c:v>98477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84-4DE3-9D0E-BF16112C84B0}"/>
            </c:ext>
          </c:extLst>
        </c:ser>
        <c:ser>
          <c:idx val="6"/>
          <c:order val="6"/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data'!$B$35:$F$35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84-4DE3-9D0E-BF16112C84B0}"/>
            </c:ext>
          </c:extLst>
        </c:ser>
        <c:ser>
          <c:idx val="7"/>
          <c:order val="7"/>
          <c:spPr>
            <a:solidFill>
              <a:schemeClr val="accent3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data'!$B$36:$F$36</c:f>
              <c:numCache>
                <c:formatCode>General</c:formatCode>
                <c:ptCount val="5"/>
                <c:pt idx="0">
                  <c:v>24996</c:v>
                </c:pt>
                <c:pt idx="1">
                  <c:v>10697</c:v>
                </c:pt>
                <c:pt idx="2">
                  <c:v>35540</c:v>
                </c:pt>
                <c:pt idx="3">
                  <c:v>87998</c:v>
                </c:pt>
                <c:pt idx="4">
                  <c:v>37135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84-4DE3-9D0E-BF16112C84B0}"/>
            </c:ext>
          </c:extLst>
        </c:ser>
        <c:ser>
          <c:idx val="8"/>
          <c:order val="8"/>
          <c:spPr>
            <a:solidFill>
              <a:schemeClr val="accent4">
                <a:lumMod val="75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data'!$B$37:$F$37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84-4DE3-9D0E-BF16112C84B0}"/>
            </c:ext>
          </c:extLst>
        </c:ser>
        <c:ser>
          <c:idx val="9"/>
          <c:order val="9"/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data'!$B$38:$F$38</c:f>
              <c:numCache>
                <c:formatCode>General</c:formatCode>
                <c:ptCount val="5"/>
                <c:pt idx="0">
                  <c:v>52558</c:v>
                </c:pt>
                <c:pt idx="1">
                  <c:v>13735</c:v>
                </c:pt>
                <c:pt idx="2">
                  <c:v>70445</c:v>
                </c:pt>
                <c:pt idx="3">
                  <c:v>55497</c:v>
                </c:pt>
                <c:pt idx="4">
                  <c:v>22772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C84-4DE3-9D0E-BF16112C84B0}"/>
            </c:ext>
          </c:extLst>
        </c:ser>
        <c:ser>
          <c:idx val="10"/>
          <c:order val="10"/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data'!$B$39:$F$39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C84-4DE3-9D0E-BF16112C84B0}"/>
            </c:ext>
          </c:extLst>
        </c:ser>
        <c:ser>
          <c:idx val="11"/>
          <c:order val="11"/>
          <c:spPr>
            <a:solidFill>
              <a:schemeClr val="accent2">
                <a:lumMod val="50000"/>
                <a:alpha val="3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data'!$B$40:$F$40</c:f>
              <c:numCache>
                <c:formatCode>General</c:formatCode>
                <c:ptCount val="5"/>
                <c:pt idx="0">
                  <c:v>94907</c:v>
                </c:pt>
                <c:pt idx="1">
                  <c:v>25549</c:v>
                </c:pt>
                <c:pt idx="2">
                  <c:v>20298</c:v>
                </c:pt>
                <c:pt idx="3">
                  <c:v>53543</c:v>
                </c:pt>
                <c:pt idx="4">
                  <c:v>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84-4DE3-9D0E-BF16112C84B0}"/>
            </c:ext>
          </c:extLst>
        </c:ser>
        <c:ser>
          <c:idx val="12"/>
          <c:order val="12"/>
          <c:spPr>
            <a:solidFill>
              <a:schemeClr val="accent6"/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data'!$B$41:$F$41</c:f>
              <c:numCache>
                <c:formatCode>General</c:formatCode>
                <c:ptCount val="5"/>
                <c:pt idx="0">
                  <c:v>82005</c:v>
                </c:pt>
                <c:pt idx="1">
                  <c:v>10691</c:v>
                </c:pt>
                <c:pt idx="2">
                  <c:v>90569</c:v>
                </c:pt>
                <c:pt idx="3">
                  <c:v>14895</c:v>
                </c:pt>
                <c:pt idx="4">
                  <c:v>49766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84-4DE3-9D0E-BF16112C84B0}"/>
            </c:ext>
          </c:extLst>
        </c:ser>
        <c:ser>
          <c:idx val="13"/>
          <c:order val="13"/>
          <c:spPr>
            <a:solidFill>
              <a:schemeClr val="accent6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data'!$B$42:$F$42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C84-4DE3-9D0E-BF16112C84B0}"/>
            </c:ext>
          </c:extLst>
        </c:ser>
        <c:ser>
          <c:idx val="14"/>
          <c:order val="14"/>
          <c:spPr>
            <a:solidFill>
              <a:srgbClr val="FFC000"/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data'!$B$43:$F$43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84-4DE3-9D0E-BF16112C84B0}"/>
            </c:ext>
          </c:extLst>
        </c:ser>
        <c:ser>
          <c:idx val="15"/>
          <c:order val="15"/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data'!$B$44:$F$44</c:f>
              <c:numCache>
                <c:formatCode>General</c:formatCode>
                <c:ptCount val="5"/>
                <c:pt idx="0">
                  <c:v>92781</c:v>
                </c:pt>
                <c:pt idx="1">
                  <c:v>14511</c:v>
                </c:pt>
                <c:pt idx="2">
                  <c:v>67687</c:v>
                </c:pt>
                <c:pt idx="3">
                  <c:v>13713</c:v>
                </c:pt>
                <c:pt idx="4">
                  <c:v>93894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C84-4DE3-9D0E-BF16112C84B0}"/>
            </c:ext>
          </c:extLst>
        </c:ser>
        <c:ser>
          <c:idx val="16"/>
          <c:order val="16"/>
          <c:spPr>
            <a:solidFill>
              <a:schemeClr val="accent4">
                <a:lumMod val="75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data'!$B$45:$F$45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C84-4DE3-9D0E-BF16112C84B0}"/>
            </c:ext>
          </c:extLst>
        </c:ser>
        <c:ser>
          <c:idx val="17"/>
          <c:order val="17"/>
          <c:spPr>
            <a:solidFill>
              <a:schemeClr val="accent4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'Transformed data'!$B$17:$F$17</c:f>
              <c:strCach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strCache>
            </c:strRef>
          </c:cat>
          <c:val>
            <c:numRef>
              <c:f>'Transformed data'!$B$46:$F$46</c:f>
              <c:numCache>
                <c:formatCode>General</c:formatCode>
                <c:ptCount val="5"/>
                <c:pt idx="0">
                  <c:v>78443</c:v>
                </c:pt>
                <c:pt idx="1">
                  <c:v>88205</c:v>
                </c:pt>
                <c:pt idx="2">
                  <c:v>27821</c:v>
                </c:pt>
                <c:pt idx="3">
                  <c:v>77779</c:v>
                </c:pt>
                <c:pt idx="4">
                  <c:v>53707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C84-4DE3-9D0E-BF16112C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964240"/>
        <c:axId val="703957520"/>
      </c:areaChart>
      <c:catAx>
        <c:axId val="70396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957520"/>
        <c:crosses val="autoZero"/>
        <c:auto val="1"/>
        <c:lblAlgn val="ctr"/>
        <c:lblOffset val="100"/>
        <c:noMultiLvlLbl val="0"/>
      </c:catAx>
      <c:valAx>
        <c:axId val="7039575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Deliveries</a:t>
                </a:r>
                <a:r>
                  <a:rPr lang="en-CA" sz="1200" b="1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endParaRPr lang="en-CA" sz="1200" b="1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9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42990084209117E-2"/>
          <c:y val="0.21152774491942661"/>
          <c:w val="0.46943606377408481"/>
          <c:h val="0.7922115426298046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1D-4D25-A074-540EEDB03122}"/>
              </c:ext>
            </c:extLst>
          </c:dPt>
          <c:dPt>
            <c:idx val="1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1D-4D25-A074-540EEDB03122}"/>
              </c:ext>
            </c:extLst>
          </c:dPt>
          <c:dPt>
            <c:idx val="2"/>
            <c:bubble3D val="0"/>
            <c:spPr>
              <a:solidFill>
                <a:schemeClr val="accent4">
                  <a:tint val="9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01D-4D25-A074-540EEDB03122}"/>
              </c:ext>
            </c:extLst>
          </c:dPt>
          <c:dPt>
            <c:idx val="3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01D-4D25-A074-540EEDB03122}"/>
              </c:ext>
            </c:extLst>
          </c:dPt>
          <c:dPt>
            <c:idx val="4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01D-4D25-A074-540EEDB0312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01D-4D25-A074-540EEDB03122}"/>
              </c:ext>
            </c:extLst>
          </c:dPt>
          <c:val>
            <c:numRef>
              <c:f>'Transformed data'!$C$2:$C$7</c:f>
              <c:numCache>
                <c:formatCode>0%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01D-4D25-A074-540EEDB03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6"/>
      </c:doughnutChart>
      <c:scatterChart>
        <c:scatterStyle val="lineMarker"/>
        <c:varyColors val="0"/>
        <c:ser>
          <c:idx val="1"/>
          <c:order val="1"/>
          <c:tx>
            <c:v>Needle</c:v>
          </c:tx>
          <c:spPr>
            <a:ln w="28575" cap="rnd">
              <a:solidFill>
                <a:schemeClr val="accent4">
                  <a:shade val="76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'Transformed data'!$E$2:$E$3</c:f>
              <c:numCache>
                <c:formatCode>General</c:formatCode>
                <c:ptCount val="2"/>
                <c:pt idx="0">
                  <c:v>0</c:v>
                </c:pt>
                <c:pt idx="1">
                  <c:v>0.78434349193340991</c:v>
                </c:pt>
              </c:numCache>
            </c:numRef>
          </c:xVal>
          <c:yVal>
            <c:numRef>
              <c:f>'Transformed data'!$F$2:$F$3</c:f>
              <c:numCache>
                <c:formatCode>General</c:formatCode>
                <c:ptCount val="2"/>
                <c:pt idx="0">
                  <c:v>0</c:v>
                </c:pt>
                <c:pt idx="1">
                  <c:v>0.62032675797655623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01D-4D25-A074-540EEDB03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560616"/>
        <c:axId val="551552744"/>
      </c:scatterChart>
      <c:valAx>
        <c:axId val="551560616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551552744"/>
        <c:crosses val="autoZero"/>
        <c:crossBetween val="midCat"/>
      </c:valAx>
      <c:valAx>
        <c:axId val="551552744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55156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'Raw Data 2'!$AA$1</c:f>
              <c:strCache>
                <c:ptCount val="1"/>
                <c:pt idx="0">
                  <c:v>New Onboard Restaurants</c:v>
                </c:pt>
              </c:strCache>
            </c:strRef>
          </c:tx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2">
                  <a:shade val="5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105-4753-9B39-6D1B693A10DE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105-4753-9B39-6D1B693A10DE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105-4753-9B39-6D1B693A10DE}"/>
              </c:ext>
            </c:extLst>
          </c:dPt>
          <c:dPt>
            <c:idx val="3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105-4753-9B39-6D1B693A10DE}"/>
              </c:ext>
            </c:extLst>
          </c:dPt>
          <c:dPt>
            <c:idx val="4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FEDA-41E9-B11F-2D369D25DB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'Raw Data 2'!$Z$2:$Z$6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'Raw Data 2'!$AA$2:$AA$6</c:f>
              <c:numCache>
                <c:formatCode>General</c:formatCode>
                <c:ptCount val="5"/>
                <c:pt idx="0">
                  <c:v>421</c:v>
                </c:pt>
                <c:pt idx="1">
                  <c:v>217</c:v>
                </c:pt>
                <c:pt idx="2">
                  <c:v>442</c:v>
                </c:pt>
                <c:pt idx="3">
                  <c:v>265</c:v>
                </c:pt>
                <c:pt idx="4">
                  <c:v>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D-41FB-A960-95234C2394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 2'!$AA$9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trendline>
            <c:spPr>
              <a:ln w="28575" cap="sq" cmpd="sng">
                <a:solidFill>
                  <a:schemeClr val="tx1"/>
                </a:solidFill>
                <a:prstDash val="solid"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trendlineType val="poly"/>
            <c:order val="2"/>
            <c:dispRSqr val="1"/>
            <c:dispEq val="0"/>
            <c:trendlineLbl>
              <c:layout>
                <c:manualLayout>
                  <c:x val="7.3854762760130144E-2"/>
                  <c:y val="-0.331262295403901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en-US"/>
                </a:p>
              </c:txPr>
            </c:trendlineLbl>
          </c:trendline>
          <c:cat>
            <c:strRef>
              <c:f>'Raw Data 2'!$Z$10:$Z$13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'Raw Data 2'!$AA$10:$AA$13</c:f>
              <c:numCache>
                <c:formatCode>0.00</c:formatCode>
                <c:ptCount val="4"/>
                <c:pt idx="0">
                  <c:v>20000</c:v>
                </c:pt>
                <c:pt idx="1">
                  <c:v>51203</c:v>
                </c:pt>
                <c:pt idx="2">
                  <c:v>77901</c:v>
                </c:pt>
                <c:pt idx="3">
                  <c:v>24656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7-4F6A-AF97-A8D29E377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7104432"/>
        <c:axId val="817105392"/>
      </c:barChart>
      <c:catAx>
        <c:axId val="81710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17105392"/>
        <c:crosses val="autoZero"/>
        <c:auto val="1"/>
        <c:lblAlgn val="ctr"/>
        <c:lblOffset val="100"/>
        <c:noMultiLvlLbl val="0"/>
      </c:catAx>
      <c:valAx>
        <c:axId val="817105392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1710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 sz="2400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53907437416039"/>
          <c:y val="0.20395536957321855"/>
          <c:w val="0.49573036054913061"/>
          <c:h val="0.70915898599164173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2">
                  <a:shade val="65000"/>
                </a:schemeClr>
              </a:solidFill>
              <a:ln w="19050"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C8-4C13-8E72-08F50E963D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C8-4C13-8E72-08F50E963D4A}"/>
              </c:ext>
            </c:extLst>
          </c:dPt>
          <c:dPt>
            <c:idx val="2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4C8-4C13-8E72-08F50E963D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'Raw Data 2'!$AH$15:$AJ$15</c:f>
              <c:strCache>
                <c:ptCount val="3"/>
                <c:pt idx="0">
                  <c:v>Zomato </c:v>
                </c:pt>
                <c:pt idx="1">
                  <c:v>swiggy</c:v>
                </c:pt>
                <c:pt idx="2">
                  <c:v>Uber</c:v>
                </c:pt>
              </c:strCache>
            </c:strRef>
          </c:cat>
          <c:val>
            <c:numRef>
              <c:f>'Raw Data 2'!$AH$16:$AJ$16</c:f>
              <c:numCache>
                <c:formatCode>General</c:formatCode>
                <c:ptCount val="3"/>
                <c:pt idx="0">
                  <c:v>40</c:v>
                </c:pt>
                <c:pt idx="1">
                  <c:v>37</c:v>
                </c:pt>
                <c:pt idx="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C8-4C13-8E72-08F50E963D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9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21533685904798"/>
          <c:y val="0.22790373238676029"/>
          <c:w val="0.17180187933764926"/>
          <c:h val="0.669552849636362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43700005809931"/>
          <c:y val="6.2528309477181104E-2"/>
          <c:w val="0.63783263471287399"/>
          <c:h val="0.99522388636076831"/>
        </c:manualLayout>
      </c:layout>
      <c:doughnutChart>
        <c:varyColors val="1"/>
        <c:ser>
          <c:idx val="0"/>
          <c:order val="0"/>
          <c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AAB-4FC5-BB99-1C6BE6887AAD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AAB-4FC5-BB99-1C6BE6887AA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AAB-4FC5-BB99-1C6BE6887AAD}"/>
              </c:ext>
            </c:extLst>
          </c:dPt>
          <c:dPt>
            <c:idx val="3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AAB-4FC5-BB99-1C6BE6887AAD}"/>
              </c:ext>
            </c:extLst>
          </c:dPt>
          <c:dPt>
            <c:idx val="4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AAB-4FC5-BB99-1C6BE6887AAD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AAB-4FC5-BB99-1C6BE6887AAD}"/>
              </c:ext>
            </c:extLst>
          </c:dPt>
          <c:val>
            <c:numRef>
              <c:f>'Raw Data 2'!$AH$22:$AH$27</c:f>
              <c:numCache>
                <c:formatCode>0%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AB-4FC5-BB99-1C6BE6887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catterChart>
        <c:scatterStyle val="lineMarker"/>
        <c:varyColors val="0"/>
        <c:ser>
          <c:idx val="1"/>
          <c:order val="1"/>
          <c:tx>
            <c:v>NEEDLE</c:v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noFill/>
              <a:ln w="9525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1"/>
            <c:marker>
              <c:symbol val="circle"/>
              <c:size val="2"/>
              <c:spPr>
                <a:noFill/>
                <a:ln w="9525"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AAB-4FC5-BB99-1C6BE6887AAD}"/>
              </c:ext>
            </c:extLst>
          </c:dPt>
          <c:xVal>
            <c:numRef>
              <c:f>'Raw Data 2'!$AJ$22:$AJ$23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'Raw Data 2'!$AK$22:$AK$23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AAB-4FC5-BB99-1C6BE6887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31184"/>
        <c:axId val="1913233104"/>
      </c:scatterChart>
      <c:valAx>
        <c:axId val="1913231184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913233104"/>
        <c:crosses val="autoZero"/>
        <c:crossBetween val="midCat"/>
      </c:valAx>
      <c:valAx>
        <c:axId val="1913233104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91323118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 sz="2400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53907437416039"/>
          <c:y val="0.20395536957321855"/>
          <c:w val="0.49573036054913061"/>
          <c:h val="0.70915898599164173"/>
        </c:manualLayout>
      </c:layout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69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21533685904798"/>
          <c:y val="0.22790373238676029"/>
          <c:w val="0.17180187933764926"/>
          <c:h val="0.669552849636362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Response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line</c:v>
          </c:tx>
          <c:spPr>
            <a:solidFill>
              <a:schemeClr val="accent6">
                <a:lumMod val="40000"/>
                <a:lumOff val="60000"/>
                <a:alpha val="75000"/>
              </a:schemeClr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'Transformed Data2'!$B$2:$B$5</c:f>
              <c:numCache>
                <c:formatCode>General</c:formatCode>
                <c:ptCount val="4"/>
                <c:pt idx="0">
                  <c:v>374</c:v>
                </c:pt>
                <c:pt idx="1">
                  <c:v>303</c:v>
                </c:pt>
                <c:pt idx="2">
                  <c:v>303</c:v>
                </c:pt>
                <c:pt idx="3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EE-447F-8CB6-5D0574CC69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66991216"/>
        <c:axId val="1908889872"/>
      </c:areaChart>
      <c:barChart>
        <c:barDir val="col"/>
        <c:grouping val="clustered"/>
        <c:varyColors val="0"/>
        <c:ser>
          <c:idx val="0"/>
          <c:order val="0"/>
          <c:tx>
            <c:strRef>
              <c:f>'Transformed Data2'!$B$1</c:f>
              <c:strCache>
                <c:ptCount val="1"/>
                <c:pt idx="0">
                  <c:v>Response Time(minutes)</c:v>
                </c:pt>
              </c:strCache>
            </c:strRef>
          </c:tx>
          <c:spPr>
            <a:solidFill>
              <a:schemeClr val="accent6">
                <a:lumMod val="50000"/>
                <a:alpha val="82000"/>
              </a:schemeClr>
            </a:solidFill>
            <a:ln>
              <a:solidFill>
                <a:schemeClr val="accent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'Transformed Data2'!$A$2:$A$5</c:f>
              <c:strCache>
                <c:ptCount val="4"/>
                <c:pt idx="0">
                  <c:v>North</c:v>
                </c:pt>
                <c:pt idx="1">
                  <c:v>East</c:v>
                </c:pt>
                <c:pt idx="2">
                  <c:v>West</c:v>
                </c:pt>
                <c:pt idx="3">
                  <c:v>South</c:v>
                </c:pt>
              </c:strCache>
            </c:strRef>
          </c:cat>
          <c:val>
            <c:numRef>
              <c:f>'Transformed Data2'!$B$2:$B$5</c:f>
              <c:numCache>
                <c:formatCode>General</c:formatCode>
                <c:ptCount val="4"/>
                <c:pt idx="0">
                  <c:v>374</c:v>
                </c:pt>
                <c:pt idx="1">
                  <c:v>303</c:v>
                </c:pt>
                <c:pt idx="2">
                  <c:v>303</c:v>
                </c:pt>
                <c:pt idx="3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E-447F-8CB6-5D0574CC69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49"/>
        <c:axId val="1274402832"/>
        <c:axId val="1274403312"/>
      </c:barChart>
      <c:catAx>
        <c:axId val="12744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274403312"/>
        <c:crosses val="autoZero"/>
        <c:auto val="1"/>
        <c:lblAlgn val="ctr"/>
        <c:lblOffset val="100"/>
        <c:noMultiLvlLbl val="0"/>
      </c:catAx>
      <c:valAx>
        <c:axId val="12744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Response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274402832"/>
        <c:crosses val="autoZero"/>
        <c:crossBetween val="between"/>
      </c:valAx>
      <c:valAx>
        <c:axId val="19088898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66991216"/>
        <c:crosses val="max"/>
        <c:crossBetween val="between"/>
      </c:valAx>
      <c:catAx>
        <c:axId val="1266991216"/>
        <c:scaling>
          <c:orientation val="minMax"/>
        </c:scaling>
        <c:delete val="1"/>
        <c:axPos val="t"/>
        <c:majorTickMark val="out"/>
        <c:minorTickMark val="none"/>
        <c:tickLblPos val="nextTo"/>
        <c:crossAx val="190888987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72222222222223"/>
          <c:y val="0.11805555555555555"/>
          <c:w val="0.46388888888888891"/>
          <c:h val="0.77314814814814814"/>
        </c:manualLayout>
      </c:layout>
      <c:doughnutChart>
        <c:varyColors val="1"/>
        <c:ser>
          <c:idx val="0"/>
          <c:order val="0"/>
          <c:tx>
            <c:strRef>
              <c:f>'Transformed Data2'!$C$12</c:f>
              <c:strCache>
                <c:ptCount val="1"/>
                <c:pt idx="0">
                  <c:v>Slices</c:v>
                </c:pt>
              </c:strCache>
            </c:strRef>
          </c:tx>
          <c:spPr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3EB-4BE1-8B96-F7A12145073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3EB-4BE1-8B96-F7A121450739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3EB-4BE1-8B96-F7A121450739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3EB-4BE1-8B96-F7A121450739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3EB-4BE1-8B96-F7A12145073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3EB-4BE1-8B96-F7A121450739}"/>
              </c:ext>
            </c:extLst>
          </c:dPt>
          <c:val>
            <c:numRef>
              <c:f>'Transformed Data2'!$C$13:$C$18</c:f>
              <c:numCache>
                <c:formatCode>0%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3EB-4BE1-8B96-F7A121450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catterChart>
        <c:scatterStyle val="lineMarker"/>
        <c:varyColors val="0"/>
        <c:ser>
          <c:idx val="1"/>
          <c:order val="1"/>
          <c:tx>
            <c:v>needles</c:v>
          </c:tx>
          <c:spPr>
            <a:ln w="317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>
              <a:glow rad="63500">
                <a:schemeClr val="accent3">
                  <a:satMod val="175000"/>
                  <a:alpha val="40000"/>
                </a:schemeClr>
              </a:glow>
              <a:outerShdw blurRad="63500" sx="104000" sy="104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'Transformed Data2'!$E$13:$E$14</c:f>
              <c:numCache>
                <c:formatCode>General</c:formatCode>
                <c:ptCount val="2"/>
                <c:pt idx="0">
                  <c:v>0</c:v>
                </c:pt>
                <c:pt idx="1">
                  <c:v>0.9999945550304068</c:v>
                </c:pt>
              </c:numCache>
            </c:numRef>
          </c:xVal>
          <c:yVal>
            <c:numRef>
              <c:f>'Transformed Data2'!$F$13:$F$14</c:f>
              <c:numCache>
                <c:formatCode>General</c:formatCode>
                <c:ptCount val="2"/>
                <c:pt idx="0">
                  <c:v>0</c:v>
                </c:pt>
                <c:pt idx="1">
                  <c:v>3.2999862937278532E-3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EB-4BE1-8B96-F7A121450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736447"/>
        <c:axId val="1458736927"/>
      </c:scatterChart>
      <c:valAx>
        <c:axId val="1458736447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458736927"/>
        <c:crosses val="autoZero"/>
        <c:crossBetween val="midCat"/>
      </c:valAx>
      <c:valAx>
        <c:axId val="1458736927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458736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Issues resolved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'Transformed Data2'!$I$18</c:f>
              <c:strCache>
                <c:ptCount val="1"/>
                <c:pt idx="0">
                  <c:v>Issues resolved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blurRad="50800" dist="38100" dir="5400000" sx="105000" sy="105000" algn="t" rotWithShape="0">
                <a:prstClr val="black">
                  <a:alpha val="40000"/>
                </a:prstClr>
              </a:outerShdw>
              <a:softEdge rad="25400"/>
            </a:effectLst>
          </c:spPr>
          <c:invertIfNegative val="0"/>
          <c:cat>
            <c:strRef>
              <c:f>'Transformed Data2'!$H$19:$H$22</c:f>
              <c:strCache>
                <c:ptCount val="4"/>
                <c:pt idx="0">
                  <c:v>North</c:v>
                </c:pt>
                <c:pt idx="1">
                  <c:v>east</c:v>
                </c:pt>
                <c:pt idx="2">
                  <c:v>West</c:v>
                </c:pt>
                <c:pt idx="3">
                  <c:v>South</c:v>
                </c:pt>
              </c:strCache>
            </c:strRef>
          </c:cat>
          <c:val>
            <c:numRef>
              <c:f>'Transformed Data2'!$I$19:$I$22</c:f>
              <c:numCache>
                <c:formatCode>General</c:formatCode>
                <c:ptCount val="4"/>
                <c:pt idx="0">
                  <c:v>108</c:v>
                </c:pt>
                <c:pt idx="1">
                  <c:v>355</c:v>
                </c:pt>
                <c:pt idx="2">
                  <c:v>280</c:v>
                </c:pt>
                <c:pt idx="3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6D-4292-9268-BAD10AF7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3234064"/>
        <c:axId val="1913230704"/>
      </c:barChart>
      <c:catAx>
        <c:axId val="191323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913230704"/>
        <c:crosses val="autoZero"/>
        <c:auto val="1"/>
        <c:lblAlgn val="ctr"/>
        <c:lblOffset val="100"/>
        <c:noMultiLvlLbl val="0"/>
      </c:catAx>
      <c:valAx>
        <c:axId val="191323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No</a:t>
                </a:r>
                <a:r>
                  <a:rPr lang="en-US" sz="1200" b="1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 of Issues</a:t>
                </a:r>
                <a:endParaRPr lang="en-US" sz="1200" b="1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91323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B0-448D-A13C-418D6715DD9D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B0-448D-A13C-418D6715DD9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B0-448D-A13C-418D6715DD9D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B0-448D-A13C-418D6715DD9D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B0-448D-A13C-418D6715DD9D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B0-448D-A13C-418D6715DD9D}"/>
              </c:ext>
            </c:extLst>
          </c:dPt>
          <c:val>
            <c:numRef>
              <c:f>'Transformed Data2'!$C$22:$C$27</c:f>
              <c:numCache>
                <c:formatCode>0%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B0-448D-A13C-418D6715D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4"/>
      </c:doughnutChart>
      <c:scatterChart>
        <c:scatterStyle val="lineMarker"/>
        <c:varyColors val="0"/>
        <c:ser>
          <c:idx val="1"/>
          <c:order val="1"/>
          <c:tx>
            <c:v>needle</c:v>
          </c:tx>
          <c:spPr>
            <a:ln w="444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>
              <a:glow rad="101600">
                <a:schemeClr val="accent3">
                  <a:satMod val="175000"/>
                  <a:alpha val="40000"/>
                </a:schemeClr>
              </a:glow>
              <a:outerShdw blurRad="63500" sx="103000" sy="103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'Transformed Data2'!$E$22:$E$23</c:f>
              <c:numCache>
                <c:formatCode>General</c:formatCode>
                <c:ptCount val="2"/>
                <c:pt idx="0">
                  <c:v>0</c:v>
                </c:pt>
                <c:pt idx="1">
                  <c:v>0.18738131458572482</c:v>
                </c:pt>
              </c:numCache>
            </c:numRef>
          </c:xVal>
          <c:yVal>
            <c:numRef>
              <c:f>'Transformed Data2'!$F$22:$F$23</c:f>
              <c:numCache>
                <c:formatCode>General</c:formatCode>
                <c:ptCount val="2"/>
                <c:pt idx="0">
                  <c:v>0</c:v>
                </c:pt>
                <c:pt idx="1">
                  <c:v>0.98228725072868861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3B0-448D-A13C-418D6715D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508272"/>
        <c:axId val="1916508752"/>
      </c:scatterChart>
      <c:valAx>
        <c:axId val="19165082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916508752"/>
        <c:crosses val="autoZero"/>
        <c:crossBetween val="midCat"/>
      </c:valAx>
      <c:valAx>
        <c:axId val="191650875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91650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 sz="2400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Market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53907437416039"/>
          <c:y val="0.20395536957321855"/>
          <c:w val="0.49573036054913061"/>
          <c:h val="0.70915898599164173"/>
        </c:manualLayout>
      </c:layout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69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21533685904798"/>
          <c:y val="0.22790373238676029"/>
          <c:w val="0.17180187933764926"/>
          <c:h val="0.669552849636362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 sz="2800" b="1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'Raw Data 4'!$C$1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'Raw Data 4'!$A$2:$A$6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'Raw Data 4'!$C$2:$C$6</c:f>
              <c:numCache>
                <c:formatCode>General</c:formatCode>
                <c:ptCount val="5"/>
                <c:pt idx="0">
                  <c:v>-450</c:v>
                </c:pt>
                <c:pt idx="1">
                  <c:v>0</c:v>
                </c:pt>
                <c:pt idx="2">
                  <c:v>0</c:v>
                </c:pt>
                <c:pt idx="3">
                  <c:v>-1740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F5-45CA-AD74-A5DC6D190BE0}"/>
            </c:ext>
          </c:extLst>
        </c:ser>
        <c:ser>
          <c:idx val="2"/>
          <c:order val="2"/>
          <c:tx>
            <c:strRef>
              <c:f>'Raw Data 4'!$D$1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cat>
            <c:numRef>
              <c:f>'Raw Data 4'!$A$2:$A$6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'Raw Data 4'!$D$2:$D$6</c:f>
              <c:numCache>
                <c:formatCode>General</c:formatCode>
                <c:ptCount val="5"/>
                <c:pt idx="0">
                  <c:v>0</c:v>
                </c:pt>
                <c:pt idx="1">
                  <c:v>1390</c:v>
                </c:pt>
                <c:pt idx="2">
                  <c:v>860</c:v>
                </c:pt>
                <c:pt idx="3">
                  <c:v>0</c:v>
                </c:pt>
                <c:pt idx="4">
                  <c:v>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F5-45CA-AD74-A5DC6D190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552943"/>
        <c:axId val="1495543343"/>
      </c:areaChart>
      <c:lineChart>
        <c:grouping val="standard"/>
        <c:varyColors val="0"/>
        <c:ser>
          <c:idx val="0"/>
          <c:order val="0"/>
          <c:tx>
            <c:strRef>
              <c:f>'Raw Data 4'!$B$1</c:f>
              <c:strCache>
                <c:ptCount val="1"/>
                <c:pt idx="0">
                  <c:v>CashFlow</c:v>
                </c:pt>
              </c:strCache>
            </c:strRef>
          </c:tx>
          <c:spPr>
            <a:ln w="41275" cap="rnd">
              <a:solidFill>
                <a:schemeClr val="bg1"/>
              </a:solidFill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'Raw Data 4'!$A$2:$A$6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'Raw Data 4'!$B$2:$B$6</c:f>
              <c:numCache>
                <c:formatCode>General</c:formatCode>
                <c:ptCount val="5"/>
                <c:pt idx="0">
                  <c:v>-450</c:v>
                </c:pt>
                <c:pt idx="1">
                  <c:v>1390</c:v>
                </c:pt>
                <c:pt idx="2">
                  <c:v>860</c:v>
                </c:pt>
                <c:pt idx="3">
                  <c:v>-1740</c:v>
                </c:pt>
                <c:pt idx="4">
                  <c:v>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F5-45CA-AD74-A5DC6D190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552943"/>
        <c:axId val="1495543343"/>
      </c:lineChart>
      <c:catAx>
        <c:axId val="14955529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495543343"/>
        <c:crosses val="autoZero"/>
        <c:auto val="1"/>
        <c:lblAlgn val="ctr"/>
        <c:lblOffset val="100"/>
        <c:noMultiLvlLbl val="0"/>
      </c:catAx>
      <c:valAx>
        <c:axId val="149554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495552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Net</a:t>
            </a:r>
            <a:r>
              <a:rPr lang="en-CA" b="1" baseline="0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Income</a:t>
            </a:r>
            <a:endParaRPr lang="en-CA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31750" cap="rnd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  <a:outerShdw blurRad="203200" sx="98000" sy="98000" algn="ctr" rotWithShape="0">
                  <a:prstClr val="black">
                    <a:alpha val="40000"/>
                  </a:prstClr>
                </a:outerShdw>
              </a:effectLst>
            </c:spPr>
            <c:trendlineType val="linear"/>
            <c:forward val="2"/>
            <c:dispRSqr val="0"/>
            <c:dispEq val="0"/>
          </c:trendline>
          <c:cat>
            <c:strRef>
              <c:f>'Raw Data 4'!$A$10:$A$13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'Raw Data 4'!$C$10:$C$13</c:f>
              <c:numCache>
                <c:formatCode>0.00</c:formatCode>
                <c:ptCount val="4"/>
                <c:pt idx="0">
                  <c:v>2253</c:v>
                </c:pt>
                <c:pt idx="1">
                  <c:v>-44823</c:v>
                </c:pt>
                <c:pt idx="2">
                  <c:v>11084</c:v>
                </c:pt>
                <c:pt idx="3">
                  <c:v>-7920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52-41E9-AE0E-FFDEF2D07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061087"/>
        <c:axId val="1634081247"/>
      </c:barChart>
      <c:catAx>
        <c:axId val="163406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34081247"/>
        <c:crosses val="autoZero"/>
        <c:auto val="1"/>
        <c:lblAlgn val="ctr"/>
        <c:lblOffset val="100"/>
        <c:noMultiLvlLbl val="0"/>
      </c:catAx>
      <c:valAx>
        <c:axId val="163408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3406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Restaurant Retention Rate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Restaurant Retention Rate</a:t>
          </a:r>
        </a:p>
      </cx:txPr>
    </cx:title>
    <cx:plotArea>
      <cx:plotAreaRegion>
        <cx:plotSurface>
          <cx:spPr>
            <a:solidFill>
              <a:schemeClr val="accent1">
                <a:lumMod val="20000"/>
                <a:lumOff val="80000"/>
              </a:schemeClr>
            </a:solidFill>
          </cx:spPr>
        </cx:plotSurface>
        <cx:series layoutId="waterfall" uniqueId="{8C741E15-8BC4-4DA3-B8CF-626C5C4D6A94}">
          <cx:tx>
            <cx:txData>
              <cx:f>_xlchart.v1.2</cx:f>
              <cx:v>Year</cx:v>
            </cx:txData>
          </cx:tx>
          <cx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</cx:spPr>
          <cx:dataLabels pos="outEnd">
            <cx:visibility seriesName="0" categoryName="0" value="1"/>
            <cx:separator>, </cx:separator>
          </cx:dataLabels>
          <cx:dataId val="0"/>
          <cx:layoutPr>
            <cx:visibility connectorLines="1"/>
            <cx:subtotals/>
          </cx:layoutPr>
        </cx:series>
      </cx:plotAreaRegion>
      <cx:axis id="0">
        <cx:catScaling gapWidth="0.75"/>
        <cx:tickLabels/>
      </cx:axis>
      <cx:axis id="1">
        <cx:valScaling/>
        <cx:tickLabels/>
      </cx:axis>
    </cx:plotArea>
  </cx:chart>
  <cx:spPr>
    <a:solidFill>
      <a:schemeClr val="accent1">
        <a:lumMod val="20000"/>
        <a:lumOff val="80000"/>
      </a:schemeClr>
    </a:solidFill>
    <a:ln>
      <a:noFill/>
    </a:ln>
    <a:effectLst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_xlchart.v2.4</cx:f>
      </cx:numDim>
    </cx:data>
  </cx:chartData>
  <cx:chart>
    <cx:title pos="t" align="ctr" overlay="0">
      <cx:tx>
        <cx:txData>
          <cx:v>Revenue - FY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Revenue - FY</a:t>
          </a:r>
        </a:p>
      </cx:txPr>
    </cx:title>
    <cx:plotArea>
      <cx:plotAreaRegion>
        <cx:series layoutId="funnel" uniqueId="{6752CA39-3EEB-4B23-9350-3DBD32113CD9}">
          <cx:tx>
            <cx:txData>
              <cx:f/>
              <cx:v>REVENUE</cx:v>
            </cx:txData>
          </cx:tx>
          <cx:spPr>
            <a:solidFill>
              <a:schemeClr val="accent5">
                <a:lumMod val="50000"/>
              </a:schemeClr>
            </a:solidFill>
          </cx:spPr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400" b="1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_xlchart.v1.7</cx:f>
      </cx:numDim>
    </cx:data>
  </cx:chartData>
  <cx:chart>
    <cx:title pos="t" align="ctr" overlay="0">
      <cx:tx>
        <cx:txData>
          <cx:v>Margin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Margin</a:t>
          </a:r>
        </a:p>
      </cx:txPr>
    </cx:title>
    <cx:plotArea>
      <cx:plotAreaRegion>
        <cx:series layoutId="waterfall" uniqueId="{BCA0FC2B-D1C2-4459-A258-BF5B9132E5CF}">
          <cx:tx>
            <cx:txData>
              <cx:f>_xlchart.v1.6</cx:f>
              <cx:v>Margin</cx:v>
            </cx:txData>
          </cx:tx>
          <cx:spPr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x:spPr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tx1">
                        <a:lumMod val="95000"/>
                        <a:lumOff val="5000"/>
                      </a:schemeClr>
                    </a:solidFill>
                  </a:defRPr>
                </a:pPr>
                <a:endParaRPr lang="en-US" sz="900" b="1" i="0" u="none" strike="noStrike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spPr>
          <a:ln>
            <a:solidFill>
              <a:schemeClr val="tx1">
                <a:lumMod val="95000"/>
                <a:lumOff val="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 b="1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2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x:txPr>
      </cx:axis>
      <cx:axis id="1">
        <cx:valScaling/>
        <cx:majorGridlines>
          <cx:spPr>
            <a:ln w="3175">
              <a:solidFill>
                <a:schemeClr val="tx1">
                  <a:lumMod val="95000"/>
                  <a:lumOff val="5000"/>
                </a:schemeClr>
              </a:solidFill>
            </a:ln>
          </cx:spPr>
        </cx:majorGridlines>
        <cx:tickLabels/>
        <cx:spPr>
          <a:ln>
            <a:solidFill>
              <a:schemeClr val="tx1">
                <a:lumMod val="95000"/>
                <a:lumOff val="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 b="1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0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x:txPr>
      </cx:axis>
    </cx:plotArea>
    <cx:legend pos="t" align="ctr" overlay="0"/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6" fmlaLink="$U$1" max="9" min="1" page="10" val="7"/>
</file>

<file path=xl/ctrlProps/ctrlProp2.xml><?xml version="1.0" encoding="utf-8"?>
<formControlPr xmlns="http://schemas.microsoft.com/office/spreadsheetml/2009/9/main" objectType="Spin" dx="26" fmlaLink="$Y$1" max="5" min="1" page="10" val="4"/>
</file>

<file path=xl/ctrlProps/ctrlProp3.xml><?xml version="1.0" encoding="utf-8"?>
<formControlPr xmlns="http://schemas.microsoft.com/office/spreadsheetml/2009/9/main" objectType="Spin" dx="26" fmlaLink="'Raw Data 2'!$S$1" max="5" min="1" page="10" val="2"/>
</file>

<file path=xl/ctrlProps/ctrlProp4.xml><?xml version="1.0" encoding="utf-8"?>
<formControlPr xmlns="http://schemas.microsoft.com/office/spreadsheetml/2009/9/main" objectType="Spin" dx="26" fmlaLink="'Raw Data 2'!$W$1" max="4" min="1" page="10" val="2"/>
</file>

<file path=xl/ctrlProps/ctrlProp5.xml><?xml version="1.0" encoding="utf-8"?>
<formControlPr xmlns="http://schemas.microsoft.com/office/spreadsheetml/2009/9/main" objectType="Spin" dx="26" fmlaLink="'Raw Data 2'!$S$7" max="4" min="1" page="10" val="4"/>
</file>

<file path=xl/ctrlProps/ctrlProp6.xml><?xml version="1.0" encoding="utf-8"?>
<formControlPr xmlns="http://schemas.microsoft.com/office/spreadsheetml/2009/9/main" objectType="Spin" dx="26" fmlaLink="'Raw Data 2'!$S$13" max="6" min="1" page="10" val="3"/>
</file>

<file path=xl/ctrlProps/ctrlProp7.xml><?xml version="1.0" encoding="utf-8"?>
<formControlPr xmlns="http://schemas.microsoft.com/office/spreadsheetml/2009/9/main" objectType="Spin" dx="26" fmlaLink="'Transformed Data2'!$H$1" max="4" min="1" page="10" val="2"/>
</file>

<file path=xl/ctrlProps/ctrlProp8.xml><?xml version="1.0" encoding="utf-8"?>
<formControlPr xmlns="http://schemas.microsoft.com/office/spreadsheetml/2009/9/main" objectType="Spin" dx="26" fmlaLink="'Transformed Data2'!$H$6" max="3" min="1" page="10"/>
</file>

<file path=xl/ctrlProps/ctrlProp9.xml><?xml version="1.0" encoding="utf-8"?>
<formControlPr xmlns="http://schemas.microsoft.com/office/spreadsheetml/2009/9/main" objectType="Spin" dx="26" fmlaLink="'Transformed Data2'!$L$1" max="4" min="1" page="10" val="2"/>
</file>

<file path=xl/ctrlProps/ctrlProp10.xml><?xml version="1.0" encoding="utf-8"?>
<formControlPr xmlns="http://schemas.microsoft.com/office/spreadsheetml/2009/9/main" objectType="Spin" dx="26" fmlaLink="'Transformed Data2'!$P$1" max="3" min="1" page="10" val="3"/>
</file>

<file path=xl/ctrlProps/ctrlProp11.xml><?xml version="1.0" encoding="utf-8"?>
<formControlPr xmlns="http://schemas.microsoft.com/office/spreadsheetml/2009/9/main" objectType="Spin" dx="26" fmlaLink="'Raw Data 4'!$L$1" max="5" min="1" page="10" val="4"/>
</file>

<file path=xl/ctrlProps/ctrlProp12.xml><?xml version="1.0" encoding="utf-8"?>
<formControlPr xmlns="http://schemas.microsoft.com/office/spreadsheetml/2009/9/main" objectType="Spin" dx="26" fmlaLink="'Raw Data 4'!$L$8" max="4" min="1" page="10" val="2"/>
</file>

<file path=xl/ctrlProps/ctrlProp13.xml><?xml version="1.0" encoding="utf-8"?>
<formControlPr xmlns="http://schemas.microsoft.com/office/spreadsheetml/2009/9/main" objectType="Spin" dx="26" fmlaLink="'Transformed Data2'!$L$1" max="4" min="1" page="10" val="2"/>
</file>

<file path=xl/ctrlProps/ctrlProp14.xml><?xml version="1.0" encoding="utf-8"?>
<formControlPr xmlns="http://schemas.microsoft.com/office/spreadsheetml/2009/9/main" objectType="Spin" dx="26" fmlaLink="'Raw Data 2'!$S$13" max="3" min="1" page="10" val="3"/>
</file>

<file path=xl/ctrlProps/ctrlProp15.xml><?xml version="1.0" encoding="utf-8"?>
<formControlPr xmlns="http://schemas.microsoft.com/office/spreadsheetml/2009/9/main" objectType="Spin" dx="26" fmlaLink="$U$1" max="100" min="1" page="10" val="16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microsoft.com/office/2014/relationships/chartEx" Target="../charts/chartEx3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144780</xdr:colOff>
      <xdr:row>7</xdr:row>
      <xdr:rowOff>99060</xdr:rowOff>
    </xdr:from>
    <xdr:to>
      <xdr:col>5</xdr:col>
      <xdr:colOff>676910</xdr:colOff>
      <xdr:row>16</xdr:row>
      <xdr:rowOff>115179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626447" y="1379643"/>
          <a:ext cx="1886796" cy="1794119"/>
          <a:chOff x="1416050" y="749300"/>
          <a:chExt cx="1879600" cy="1676400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11" name="Pie 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5400000">
            <a:off x="1517650" y="647700"/>
            <a:ext cx="1676400" cy="1879600"/>
          </a:xfrm>
          <a:prstGeom prst="pie">
            <a:avLst>
              <a:gd name="adj1" fmla="val 5345124"/>
              <a:gd name="adj2" fmla="val 16234873"/>
            </a:avLst>
          </a:prstGeom>
          <a:solidFill>
            <a:schemeClr val="tx2">
              <a:lumMod val="25000"/>
              <a:lumOff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266950" y="1486676"/>
            <a:ext cx="209550" cy="209550"/>
          </a:xfrm>
          <a:prstGeom prst="ellipse">
            <a:avLst/>
          </a:prstGeom>
          <a:solidFill>
            <a:schemeClr val="tx2">
              <a:lumMod val="25000"/>
              <a:lumOff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316523</xdr:colOff>
      <xdr:row>11</xdr:row>
      <xdr:rowOff>82061</xdr:rowOff>
    </xdr:from>
    <xdr:to>
      <xdr:col>3</xdr:col>
      <xdr:colOff>45720</xdr:colOff>
      <xdr:row>12</xdr:row>
      <xdr:rowOff>129540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043354" y="2157046"/>
          <a:ext cx="491197" cy="23504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/>
            <a:t>0</a:t>
          </a:r>
          <a:endParaRPr lang="en-CA" sz="1400" b="1"/>
        </a:p>
        <a:p>
          <a:endParaRPr lang="en-CA" sz="1400" b="1"/>
        </a:p>
      </xdr:txBody>
    </xdr:sp>
    <xdr:clientData/>
  </xdr:twoCellAnchor>
  <xdr:twoCellAnchor>
    <xdr:from>
      <xdr:col>1</xdr:col>
      <xdr:colOff>336452</xdr:colOff>
      <xdr:row>7</xdr:row>
      <xdr:rowOff>128953</xdr:rowOff>
    </xdr:from>
    <xdr:to>
      <xdr:col>3</xdr:col>
      <xdr:colOff>65063</xdr:colOff>
      <xdr:row>8</xdr:row>
      <xdr:rowOff>167053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63283" y="1453661"/>
          <a:ext cx="490611" cy="22566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/>
            <a:t>200</a:t>
          </a:r>
          <a:endParaRPr lang="en-CA" sz="1100" b="1"/>
        </a:p>
      </xdr:txBody>
    </xdr:sp>
    <xdr:clientData/>
  </xdr:twoCellAnchor>
  <xdr:twoCellAnchor>
    <xdr:from>
      <xdr:col>3</xdr:col>
      <xdr:colOff>412652</xdr:colOff>
      <xdr:row>4</xdr:row>
      <xdr:rowOff>132471</xdr:rowOff>
    </xdr:from>
    <xdr:to>
      <xdr:col>4</xdr:col>
      <xdr:colOff>313592</xdr:colOff>
      <xdr:row>5</xdr:row>
      <xdr:rowOff>182880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901483" y="894471"/>
          <a:ext cx="428478" cy="23797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/>
            <a:t>400</a:t>
          </a:r>
        </a:p>
      </xdr:txBody>
    </xdr:sp>
    <xdr:clientData/>
  </xdr:twoCellAnchor>
  <xdr:twoCellAnchor>
    <xdr:from>
      <xdr:col>5</xdr:col>
      <xdr:colOff>53926</xdr:colOff>
      <xdr:row>4</xdr:row>
      <xdr:rowOff>148297</xdr:rowOff>
    </xdr:from>
    <xdr:to>
      <xdr:col>5</xdr:col>
      <xdr:colOff>564466</xdr:colOff>
      <xdr:row>5</xdr:row>
      <xdr:rowOff>186397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890911" y="910297"/>
          <a:ext cx="510540" cy="22566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/>
            <a:t>600</a:t>
          </a:r>
        </a:p>
      </xdr:txBody>
    </xdr:sp>
    <xdr:clientData/>
  </xdr:twoCellAnchor>
  <xdr:twoCellAnchor>
    <xdr:from>
      <xdr:col>6</xdr:col>
      <xdr:colOff>40445</xdr:colOff>
      <xdr:row>7</xdr:row>
      <xdr:rowOff>155917</xdr:rowOff>
    </xdr:from>
    <xdr:to>
      <xdr:col>6</xdr:col>
      <xdr:colOff>609600</xdr:colOff>
      <xdr:row>8</xdr:row>
      <xdr:rowOff>183466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698045" y="1480625"/>
          <a:ext cx="569155" cy="21511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/>
            <a:t>800</a:t>
          </a:r>
        </a:p>
      </xdr:txBody>
    </xdr:sp>
    <xdr:clientData/>
  </xdr:twoCellAnchor>
  <xdr:twoCellAnchor>
    <xdr:from>
      <xdr:col>6</xdr:col>
      <xdr:colOff>270217</xdr:colOff>
      <xdr:row>11</xdr:row>
      <xdr:rowOff>99060</xdr:rowOff>
    </xdr:from>
    <xdr:to>
      <xdr:col>7</xdr:col>
      <xdr:colOff>201637</xdr:colOff>
      <xdr:row>12</xdr:row>
      <xdr:rowOff>91440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927817" y="2174045"/>
          <a:ext cx="892712" cy="17994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/>
            <a:t>1000</a:t>
          </a:r>
        </a:p>
      </xdr:txBody>
    </xdr:sp>
    <xdr:clientData/>
  </xdr:twoCellAnchor>
  <xdr:twoCellAnchor>
    <xdr:from>
      <xdr:col>7</xdr:col>
      <xdr:colOff>91440</xdr:colOff>
      <xdr:row>4</xdr:row>
      <xdr:rowOff>9370</xdr:rowOff>
    </xdr:from>
    <xdr:to>
      <xdr:col>17</xdr:col>
      <xdr:colOff>10026</xdr:colOff>
      <xdr:row>19</xdr:row>
      <xdr:rowOff>144163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163342</xdr:rowOff>
    </xdr:from>
    <xdr:to>
      <xdr:col>7</xdr:col>
      <xdr:colOff>314325</xdr:colOff>
      <xdr:row>35</xdr:row>
      <xdr:rowOff>6566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11</xdr:col>
          <xdr:colOff>297180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14</xdr:col>
          <xdr:colOff>281940</xdr:colOff>
          <xdr:row>3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288053</xdr:colOff>
      <xdr:row>19</xdr:row>
      <xdr:rowOff>164758</xdr:rowOff>
    </xdr:from>
    <xdr:to>
      <xdr:col>17</xdr:col>
      <xdr:colOff>10583</xdr:colOff>
      <xdr:row>35</xdr:row>
      <xdr:rowOff>15500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05773" y="3807118"/>
              <a:ext cx="6687210" cy="27768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128952</xdr:colOff>
      <xdr:row>15</xdr:row>
      <xdr:rowOff>-1</xdr:rowOff>
    </xdr:from>
    <xdr:to>
      <xdr:col>5</xdr:col>
      <xdr:colOff>797169</xdr:colOff>
      <xdr:row>18</xdr:row>
      <xdr:rowOff>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28952" y="2825261"/>
          <a:ext cx="3505202" cy="715108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CA" sz="1800" b="1">
              <a:solidFill>
                <a:schemeClr val="bg1"/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rPr>
            <a:t>GROSS</a:t>
          </a:r>
          <a:r>
            <a:rPr lang="en-CA" sz="1800" b="1" baseline="0">
              <a:solidFill>
                <a:schemeClr val="bg1"/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rPr>
            <a:t> ORDER VALUE </a:t>
          </a:r>
          <a:r>
            <a:rPr lang="en-CA" sz="1200" b="1" baseline="0">
              <a:solidFill>
                <a:schemeClr val="bg1"/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rPr>
            <a:t>(Billions)</a:t>
          </a:r>
          <a:endParaRPr lang="en-CA" sz="1800" b="1">
            <a:solidFill>
              <a:schemeClr val="bg1"/>
            </a:solidFill>
            <a:latin typeface="Cascadia Code" panose="020B0609020000020004" pitchFamily="49" charset="0"/>
            <a:ea typeface="Cascadia Code" panose="020B0609020000020004" pitchFamily="49" charset="0"/>
            <a:cs typeface="Cascadia Code" panose="020B0609020000020004" pitchFamily="49" charset="0"/>
          </a:endParaRPr>
        </a:p>
      </xdr:txBody>
    </xdr:sp>
    <xdr:clientData/>
  </xdr:twoCellAnchor>
  <xdr:twoCellAnchor>
    <xdr:from>
      <xdr:col>2</xdr:col>
      <xdr:colOff>113887</xdr:colOff>
      <xdr:row>1</xdr:row>
      <xdr:rowOff>171142</xdr:rowOff>
    </xdr:from>
    <xdr:to>
      <xdr:col>10</xdr:col>
      <xdr:colOff>37688</xdr:colOff>
      <xdr:row>18</xdr:row>
      <xdr:rowOff>160846</xdr:rowOff>
    </xdr:to>
    <xdr:graphicFrame macro="">
      <xdr:nvGraphicFramePr>
        <xdr:cNvPr id="25" name="Chart 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42968</xdr:colOff>
      <xdr:row>7</xdr:row>
      <xdr:rowOff>150396</xdr:rowOff>
    </xdr:from>
    <xdr:to>
      <xdr:col>5</xdr:col>
      <xdr:colOff>471236</xdr:colOff>
      <xdr:row>20</xdr:row>
      <xdr:rowOff>50132</xdr:rowOff>
    </xdr:to>
    <xdr:sp macro="" textlink="">
      <xdr:nvSpPr>
        <xdr:cNvPr id="18" name="Pie 1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5400000">
          <a:off x="1274774" y="1505380"/>
          <a:ext cx="2245894" cy="2263083"/>
        </a:xfrm>
        <a:prstGeom prst="pie">
          <a:avLst>
            <a:gd name="adj1" fmla="val 5345124"/>
            <a:gd name="adj2" fmla="val 16234873"/>
          </a:avLst>
        </a:prstGeom>
        <a:solidFill>
          <a:schemeClr val="accent2">
            <a:lumMod val="40000"/>
            <a:lumOff val="60000"/>
          </a:schemeClr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txBody>
        <a:bodyPr wrap="square" rtlCol="0" anchor="t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</xdr:row>
          <xdr:rowOff>0</xdr:rowOff>
        </xdr:from>
        <xdr:to>
          <xdr:col>11</xdr:col>
          <xdr:colOff>312420</xdr:colOff>
          <xdr:row>2</xdr:row>
          <xdr:rowOff>7620</xdr:rowOff>
        </xdr:to>
        <xdr:sp macro="" textlink="">
          <xdr:nvSpPr>
            <xdr:cNvPr id="10242" name="Spinner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1</xdr:row>
          <xdr:rowOff>7620</xdr:rowOff>
        </xdr:from>
        <xdr:to>
          <xdr:col>14</xdr:col>
          <xdr:colOff>236220</xdr:colOff>
          <xdr:row>1</xdr:row>
          <xdr:rowOff>228600</xdr:rowOff>
        </xdr:to>
        <xdr:sp macro="" textlink="">
          <xdr:nvSpPr>
            <xdr:cNvPr id="10243" name="Spinner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3</xdr:row>
          <xdr:rowOff>7620</xdr:rowOff>
        </xdr:from>
        <xdr:to>
          <xdr:col>11</xdr:col>
          <xdr:colOff>281940</xdr:colOff>
          <xdr:row>4</xdr:row>
          <xdr:rowOff>7620</xdr:rowOff>
        </xdr:to>
        <xdr:sp macro="" textlink="">
          <xdr:nvSpPr>
            <xdr:cNvPr id="10244" name="Spinner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2</xdr:row>
          <xdr:rowOff>175260</xdr:rowOff>
        </xdr:from>
        <xdr:to>
          <xdr:col>14</xdr:col>
          <xdr:colOff>312420</xdr:colOff>
          <xdr:row>4</xdr:row>
          <xdr:rowOff>7620</xdr:rowOff>
        </xdr:to>
        <xdr:sp macro="" textlink="">
          <xdr:nvSpPr>
            <xdr:cNvPr id="10245" name="Spinner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5</xdr:row>
      <xdr:rowOff>0</xdr:rowOff>
    </xdr:from>
    <xdr:to>
      <xdr:col>16</xdr:col>
      <xdr:colOff>0</xdr:colOff>
      <xdr:row>23</xdr:row>
      <xdr:rowOff>172421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592668</xdr:colOff>
      <xdr:row>23</xdr:row>
      <xdr:rowOff>175259</xdr:rowOff>
    </xdr:from>
    <xdr:to>
      <xdr:col>16</xdr:col>
      <xdr:colOff>12291</xdr:colOff>
      <xdr:row>43</xdr:row>
      <xdr:rowOff>14376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24</xdr:row>
      <xdr:rowOff>24581</xdr:rowOff>
    </xdr:from>
    <xdr:to>
      <xdr:col>7</xdr:col>
      <xdr:colOff>601980</xdr:colOff>
      <xdr:row>42</xdr:row>
      <xdr:rowOff>159775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</xdr:row>
      <xdr:rowOff>133208</xdr:rowOff>
    </xdr:from>
    <xdr:to>
      <xdr:col>7</xdr:col>
      <xdr:colOff>239813</xdr:colOff>
      <xdr:row>22</xdr:row>
      <xdr:rowOff>120316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50132</xdr:colOff>
      <xdr:row>18</xdr:row>
      <xdr:rowOff>0</xdr:rowOff>
    </xdr:from>
    <xdr:to>
      <xdr:col>6</xdr:col>
      <xdr:colOff>100642</xdr:colOff>
      <xdr:row>21</xdr:row>
      <xdr:rowOff>10027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50132" y="3450566"/>
          <a:ext cx="3673604" cy="613876"/>
        </a:xfrm>
        <a:prstGeom prst="rect">
          <a:avLst/>
        </a:prstGeom>
        <a:solidFill>
          <a:schemeClr val="accent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CA" sz="2400" b="1">
              <a:solidFill>
                <a:schemeClr val="bg1"/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rPr>
            <a:t>Average Order Value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42968</xdr:colOff>
      <xdr:row>7</xdr:row>
      <xdr:rowOff>150396</xdr:rowOff>
    </xdr:from>
    <xdr:to>
      <xdr:col>5</xdr:col>
      <xdr:colOff>471236</xdr:colOff>
      <xdr:row>20</xdr:row>
      <xdr:rowOff>50132</xdr:rowOff>
    </xdr:to>
    <xdr:sp macro="" textlink="">
      <xdr:nvSpPr>
        <xdr:cNvPr id="2" name="Pi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5400000">
          <a:off x="1252114" y="1532050"/>
          <a:ext cx="2277176" cy="2257068"/>
        </a:xfrm>
        <a:prstGeom prst="pie">
          <a:avLst>
            <a:gd name="adj1" fmla="val 5345124"/>
            <a:gd name="adj2" fmla="val 16234873"/>
          </a:avLst>
        </a:prstGeom>
        <a:solidFill>
          <a:schemeClr val="accent2">
            <a:lumMod val="40000"/>
            <a:lumOff val="60000"/>
          </a:schemeClr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txBody>
        <a:bodyPr wrap="square" rtlCol="0" anchor="t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</xdr:row>
          <xdr:rowOff>0</xdr:rowOff>
        </xdr:from>
        <xdr:to>
          <xdr:col>11</xdr:col>
          <xdr:colOff>312420</xdr:colOff>
          <xdr:row>2</xdr:row>
          <xdr:rowOff>7620</xdr:rowOff>
        </xdr:to>
        <xdr:sp macro="" textlink="">
          <xdr:nvSpPr>
            <xdr:cNvPr id="22529" name="Spinne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1</xdr:row>
          <xdr:rowOff>7620</xdr:rowOff>
        </xdr:from>
        <xdr:to>
          <xdr:col>14</xdr:col>
          <xdr:colOff>236220</xdr:colOff>
          <xdr:row>1</xdr:row>
          <xdr:rowOff>228600</xdr:rowOff>
        </xdr:to>
        <xdr:sp macro="" textlink="">
          <xdr:nvSpPr>
            <xdr:cNvPr id="22530" name="Spinner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3</xdr:row>
          <xdr:rowOff>7620</xdr:rowOff>
        </xdr:from>
        <xdr:to>
          <xdr:col>11</xdr:col>
          <xdr:colOff>281940</xdr:colOff>
          <xdr:row>4</xdr:row>
          <xdr:rowOff>7620</xdr:rowOff>
        </xdr:to>
        <xdr:sp macro="" textlink="">
          <xdr:nvSpPr>
            <xdr:cNvPr id="22531" name="Spinner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2</xdr:row>
          <xdr:rowOff>175260</xdr:rowOff>
        </xdr:from>
        <xdr:to>
          <xdr:col>14</xdr:col>
          <xdr:colOff>312420</xdr:colOff>
          <xdr:row>4</xdr:row>
          <xdr:rowOff>7620</xdr:rowOff>
        </xdr:to>
        <xdr:sp macro="" textlink="">
          <xdr:nvSpPr>
            <xdr:cNvPr id="22532" name="Spinner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2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24</xdr:row>
      <xdr:rowOff>24581</xdr:rowOff>
    </xdr:from>
    <xdr:to>
      <xdr:col>7</xdr:col>
      <xdr:colOff>601980</xdr:colOff>
      <xdr:row>42</xdr:row>
      <xdr:rowOff>159775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7</xdr:col>
      <xdr:colOff>581186</xdr:colOff>
      <xdr:row>24</xdr:row>
      <xdr:rowOff>25831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30891</xdr:colOff>
      <xdr:row>4</xdr:row>
      <xdr:rowOff>41187</xdr:rowOff>
    </xdr:from>
    <xdr:to>
      <xdr:col>13</xdr:col>
      <xdr:colOff>1565189</xdr:colOff>
      <xdr:row>23</xdr:row>
      <xdr:rowOff>30890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24</xdr:row>
      <xdr:rowOff>43962</xdr:rowOff>
    </xdr:from>
    <xdr:to>
      <xdr:col>16</xdr:col>
      <xdr:colOff>0</xdr:colOff>
      <xdr:row>43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810382</xdr:colOff>
      <xdr:row>4</xdr:row>
      <xdr:rowOff>133048</xdr:rowOff>
    </xdr:from>
    <xdr:to>
      <xdr:col>17</xdr:col>
      <xdr:colOff>335593</xdr:colOff>
      <xdr:row>22</xdr:row>
      <xdr:rowOff>73843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</xdr:row>
          <xdr:rowOff>0</xdr:rowOff>
        </xdr:from>
        <xdr:to>
          <xdr:col>11</xdr:col>
          <xdr:colOff>312420</xdr:colOff>
          <xdr:row>2</xdr:row>
          <xdr:rowOff>7620</xdr:rowOff>
        </xdr:to>
        <xdr:sp macro="" textlink="">
          <xdr:nvSpPr>
            <xdr:cNvPr id="31745" name="Spinner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1</xdr:row>
          <xdr:rowOff>7620</xdr:rowOff>
        </xdr:from>
        <xdr:to>
          <xdr:col>14</xdr:col>
          <xdr:colOff>236220</xdr:colOff>
          <xdr:row>1</xdr:row>
          <xdr:rowOff>228600</xdr:rowOff>
        </xdr:to>
        <xdr:sp macro="" textlink="">
          <xdr:nvSpPr>
            <xdr:cNvPr id="31746" name="Spinner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3</xdr:row>
          <xdr:rowOff>7620</xdr:rowOff>
        </xdr:from>
        <xdr:to>
          <xdr:col>11</xdr:col>
          <xdr:colOff>281940</xdr:colOff>
          <xdr:row>4</xdr:row>
          <xdr:rowOff>7620</xdr:rowOff>
        </xdr:to>
        <xdr:sp macro="" textlink="">
          <xdr:nvSpPr>
            <xdr:cNvPr id="31747" name="Spinner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3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2</xdr:row>
          <xdr:rowOff>175260</xdr:rowOff>
        </xdr:from>
        <xdr:to>
          <xdr:col>14</xdr:col>
          <xdr:colOff>312420</xdr:colOff>
          <xdr:row>4</xdr:row>
          <xdr:rowOff>7620</xdr:rowOff>
        </xdr:to>
        <xdr:sp macro="" textlink="">
          <xdr:nvSpPr>
            <xdr:cNvPr id="31748" name="Spinner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3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24</xdr:row>
      <xdr:rowOff>24581</xdr:rowOff>
    </xdr:from>
    <xdr:to>
      <xdr:col>7</xdr:col>
      <xdr:colOff>601980</xdr:colOff>
      <xdr:row>42</xdr:row>
      <xdr:rowOff>159775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43962</xdr:colOff>
      <xdr:row>24</xdr:row>
      <xdr:rowOff>29308</xdr:rowOff>
    </xdr:from>
    <xdr:to>
      <xdr:col>15</xdr:col>
      <xdr:colOff>556846</xdr:colOff>
      <xdr:row>42</xdr:row>
      <xdr:rowOff>161193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-1</xdr:rowOff>
    </xdr:from>
    <xdr:to>
      <xdr:col>8</xdr:col>
      <xdr:colOff>14654</xdr:colOff>
      <xdr:row>24</xdr:row>
      <xdr:rowOff>14653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05839"/>
              <a:ext cx="4929554" cy="35808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588380</xdr:colOff>
      <xdr:row>5</xdr:row>
      <xdr:rowOff>0</xdr:rowOff>
    </xdr:from>
    <xdr:to>
      <xdr:col>16</xdr:col>
      <xdr:colOff>9644</xdr:colOff>
      <xdr:row>23</xdr:row>
      <xdr:rowOff>163975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23</xdr:row>
      <xdr:rowOff>160421</xdr:rowOff>
    </xdr:from>
    <xdr:to>
      <xdr:col>7</xdr:col>
      <xdr:colOff>591553</xdr:colOff>
      <xdr:row>42</xdr:row>
      <xdr:rowOff>150395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549541"/>
              <a:ext cx="4896853" cy="3998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601980</xdr:colOff>
          <xdr:row>4</xdr:row>
          <xdr:rowOff>167640</xdr:rowOff>
        </xdr:from>
        <xdr:to>
          <xdr:col>21</xdr:col>
          <xdr:colOff>160020</xdr:colOff>
          <xdr:row>6</xdr:row>
          <xdr:rowOff>15240</xdr:rowOff>
        </xdr:to>
        <xdr:sp macro="" textlink="">
          <xdr:nvSpPr>
            <xdr:cNvPr id="19458" name="Spinner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B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D27B-8FBF-4014-9313-A0CA67C79F58}" name="RawData" displayName="RawData" ref="A1:H46" totalsRowShown="0" headerRowDxfId="145" dataDxfId="144">
  <autoFilter ref="A1:H46" xr:uid="{0A90D27B-8FBF-4014-9313-A0CA67C79F5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715CD9E-7E8D-4920-B2E3-208000B4BD0E}" name="Location" dataDxfId="143"/>
    <tableColumn id="2" xr3:uid="{771BFB2C-9893-43FD-8C07-23C349D07F51}" name="Financial Year" dataDxfId="142"/>
    <tableColumn id="3" xr3:uid="{3A02D914-0CA8-40A2-89FB-F14E97EB61C2}" name="Gross Order Value" dataDxfId="141"/>
    <tableColumn id="4" xr3:uid="{E6490467-0F4B-4767-9AC0-48F0404F737F}" name="Average Delivery Time" dataDxfId="140"/>
    <tableColumn id="5" xr3:uid="{EA3680B5-EA21-49EC-9B57-E282A8F687D0}" name="Deliveries" dataDxfId="139"/>
    <tableColumn id="6" xr3:uid="{243888CE-9A31-459D-B8D9-2FE19A07E858}" name="Restaurant Partners" dataDxfId="138"/>
    <tableColumn id="7" xr3:uid="{2727438C-1198-405C-AEA4-5A70A300462D}" name="Aggregate Rating" dataDxfId="137"/>
    <tableColumn id="8" xr3:uid="{FE7759B1-9F65-4629-B4B0-1F53A669A967}" name="Restaurant Retention Rate" dataDxfId="136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EDF9F0-A29E-4777-80F9-536DD2FABA7C}" name="Table2" displayName="Table2" ref="A17:F26" totalsRowShown="0" headerRowDxfId="135" dataDxfId="134">
  <autoFilter ref="A17:F26" xr:uid="{F6EDF9F0-A29E-4777-80F9-536DD2FABA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3588198-FECC-418C-A29A-732B45F6FF84}" name="Cities" dataDxfId="133"/>
    <tableColumn id="2" xr3:uid="{9DDBFD7F-BF2A-445F-9A3A-60DAD1592EF8}" name="2019" dataDxfId="132">
      <calculatedColumnFormula>'Raw Data 1'!$E2</calculatedColumnFormula>
    </tableColumn>
    <tableColumn id="3" xr3:uid="{184670A4-247D-487C-A663-8E7165BDD66E}" name="2020" dataDxfId="131">
      <calculatedColumnFormula>'Raw Data 1'!$E11</calculatedColumnFormula>
    </tableColumn>
    <tableColumn id="4" xr3:uid="{B6228301-2F7C-4543-B044-B1D89ADFCFB5}" name="2021" dataDxfId="130">
      <calculatedColumnFormula>'Raw Data 1'!$E20</calculatedColumnFormula>
    </tableColumn>
    <tableColumn id="5" xr3:uid="{DAE69285-26E3-4A95-9EED-5491B4C1715C}" name="2022" dataDxfId="129">
      <calculatedColumnFormula>'Raw Data 1'!$E29</calculatedColumnFormula>
    </tableColumn>
    <tableColumn id="6" xr3:uid="{D586B0FE-329D-4FC4-85AE-3091DC71B3A3}" name="2023" dataDxfId="128">
      <calculatedColumnFormula>'Raw Data 1'!$E38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578097-130F-4FD4-9BE1-250E80F3F6EA}" name="GaugeChart" displayName="GaugeChart" ref="A1:F7" totalsRowShown="0" headerRowDxfId="127" dataDxfId="126">
  <autoFilter ref="A1:F7" xr:uid="{7B578097-130F-4FD4-9BE1-250E80F3F6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9DDEBB1-C8EB-40ED-8BE5-8C78486060AA}" name="Chart Value" dataDxfId="125"/>
    <tableColumn id="2" xr3:uid="{7AFF6B63-079B-4CE3-B84B-2B6D6732E3FE}" name="Max" dataDxfId="124"/>
    <tableColumn id="3" xr3:uid="{D083AE5D-A726-4A33-B664-002F5D2E12A1}" name="Slices" dataDxfId="123"/>
    <tableColumn id="4" xr3:uid="{020A4D60-D783-46B0-AF1B-BF649004ECEF}" name="Degrees" dataDxfId="122"/>
    <tableColumn id="5" xr3:uid="{26FC7B0D-CB50-4701-8226-97AF925B594C}" name="X-Values" dataDxfId="121"/>
    <tableColumn id="6" xr3:uid="{344B129B-852F-49A8-8F7D-1D1A52F9A67B}" name="Y-Values" dataDxfId="1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C10015-E957-449E-9CBE-10804B401682}" name="FY" displayName="FY" ref="A9:G14" totalsRowShown="0" headerRowDxfId="119" dataDxfId="118">
  <autoFilter ref="A9:G14" xr:uid="{C8C10015-E957-449E-9CBE-10804B4016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9792E70-DEB8-470F-AB7B-F502BBFE7942}" name="Financial Year" dataDxfId="117"/>
    <tableColumn id="2" xr3:uid="{5E449D81-31EE-49DB-9DC1-359122EDAD5D}" name="Gross Order Value" dataDxfId="116">
      <calculatedColumnFormula>SUMIFS('Raw Data 1'!$C:$C,'Raw Data 1'!$A:$A,Operations!$K$3,'Raw Data 1'!$B:$B,$A10)</calculatedColumnFormula>
    </tableColumn>
    <tableColumn id="3" xr3:uid="{C1106901-71F3-4A74-9F9F-08A217922F17}" name="Average Delivery Time" dataDxfId="115">
      <calculatedColumnFormula>SUMIFS('Raw Data 1'!$D:$D,'Raw Data 1'!$A:$A,Operations!$K$3,'Raw Data 1'!$B:$B,$A10)</calculatedColumnFormula>
    </tableColumn>
    <tableColumn id="4" xr3:uid="{F61EF38A-2EA1-4FCF-8BB1-688FC0CB80B3}" name="Deliveries" dataDxfId="114">
      <calculatedColumnFormula>SUMIFS('Raw Data 1'!$E:$E,'Raw Data 1'!$A:$A,Operations!$K$3,'Raw Data 1'!$B:$B,$A10)</calculatedColumnFormula>
    </tableColumn>
    <tableColumn id="5" xr3:uid="{80E6CF8F-56B9-4D4F-A59B-E5B9FB0F1219}" name="Restaurant Partners" dataDxfId="113">
      <calculatedColumnFormula>SUMIFS('Raw Data 1'!$F:$F,'Raw Data 1'!$A:$A,Operations!$K$3,'Raw Data 1'!$B:$B,$A10)</calculatedColumnFormula>
    </tableColumn>
    <tableColumn id="6" xr3:uid="{FAA9613C-7F19-4802-837E-98BBE63EAA0F}" name="Aggregate Rating" dataDxfId="112">
      <calculatedColumnFormula>SUMIFS('Raw Data 1'!$G:$G,'Raw Data 1'!$A:$A,Operations!$K$3,'Raw Data 1'!$B:$B,$A10)</calculatedColumnFormula>
    </tableColumn>
    <tableColumn id="7" xr3:uid="{03D63F76-A132-4DE7-9E6A-B9C852EC3754}" name="Retention Rate" dataDxfId="111" dataCellStyle="Percent">
      <calculatedColumnFormula>SUMIFS('Raw Data 1'!$H:$H,'Raw Data 1'!$A:$A,Operations!$K$3,'Raw Data 1'!$B:$B,$A10)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9D3CA0-0D83-4A05-9374-50A85A736897}" name="Waterfall" displayName="Waterfall" ref="I9:J18" totalsRowShown="0" headerRowDxfId="110" dataDxfId="109">
  <autoFilter ref="I9:J18" xr:uid="{E49D3CA0-0D83-4A05-9374-50A85A736897}">
    <filterColumn colId="0" hiddenButton="1"/>
    <filterColumn colId="1" hiddenButton="1"/>
  </autoFilter>
  <tableColumns count="2">
    <tableColumn id="1" xr3:uid="{B6A5B028-2360-4F34-9DB4-CE11F0876774}" name="Cities" dataDxfId="108"/>
    <tableColumn id="2" xr3:uid="{4556BF20-D13D-4A56-9F42-4AFD9D1397D9}" name="Year" dataDxfId="107" dataCellStyle="Percent">
      <calculatedColumnFormula>SUMIFS('Raw Data 1'!$H:$H,'Raw Data 1'!$B:$B,Operations!$N$3,'Raw Data 1'!$A:$A,$I10)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DED86E0-EA0B-4B91-9577-A5A044240F51}" name="Rawdata2" displayName="Rawdata2" ref="A1:M110" totalsRowShown="0" headerRowDxfId="106" dataDxfId="104" headerRowBorderDxfId="105" tableBorderDxfId="103">
  <autoFilter ref="A1:M110" xr:uid="{7DED86E0-EA0B-4B91-9577-A5A044240F51}"/>
  <tableColumns count="13">
    <tableColumn id="1" xr3:uid="{574A0376-8A51-4480-9775-D0CDA89393E3}" name="Financial Year" dataDxfId="102"/>
    <tableColumn id="2" xr3:uid="{1514D157-4D31-4EE0-83F8-80CF44779AF6}" name="Quarter" dataDxfId="101"/>
    <tableColumn id="3" xr3:uid="{32899A03-4B2D-41EC-AD6E-D4F4AD331B18}" name="Region" dataDxfId="100"/>
    <tableColumn id="4" xr3:uid="{69745B80-B39E-4606-9D11-EF490B2E7C51}" name="Cuisine" dataDxfId="99"/>
    <tableColumn id="5" xr3:uid="{4B9127E3-581E-4BD0-9416-F5EA01C0F482}" name="Customer Rating" dataDxfId="98"/>
    <tableColumn id="6" xr3:uid="{48457607-EECF-4523-B459-D74FF2BF364F}" name="New Onboard Restaurants" dataDxfId="97"/>
    <tableColumn id="7" xr3:uid="{838CBE80-E9D4-46B3-A327-4BB9BA8E413E}" name="Revenue" dataDxfId="96"/>
    <tableColumn id="8" xr3:uid="{8BBBB7FB-2CCD-4FA9-BEAE-17D772FDEA49}" name="Gross Order Value" dataDxfId="95" dataCellStyle="Currency"/>
    <tableColumn id="9" xr3:uid="{648CCEB9-3A80-4315-97B1-B9D55DD92519}" name="Number of Orders" dataDxfId="94"/>
    <tableColumn id="10" xr3:uid="{9CC96076-78FA-424C-B66F-A41E4941A511}" name="Average Order Value" dataDxfId="93" dataCellStyle="Currency">
      <calculatedColumnFormula>Rawdata2[[#This Row],[Gross Order Value]]/Rawdata2[[#This Row],[Number of Orders]]</calculatedColumnFormula>
    </tableColumn>
    <tableColumn id="11" xr3:uid="{C4441610-3C8E-48F0-AFD9-2407C903A738}" name="Expenses" dataDxfId="92"/>
    <tableColumn id="12" xr3:uid="{DE2C7361-5B1F-43AC-ACC7-FBC482F9A9AA}" name="Net Income" dataDxfId="91">
      <calculatedColumnFormula>Rawdata2[[#This Row],[Revenue]]-Rawdata2[[#This Row],[Expenses]]</calculatedColumnFormula>
    </tableColumn>
    <tableColumn id="13" xr3:uid="{7331CFDD-ED8F-440B-9AC4-92A2FE0AB5CE}" name="Margin" dataDxfId="90">
      <calculatedColumnFormula>Rawdata2[[#This Row],[Net Income]]/Rawdata2[[#This Row],[Revenue]]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1FE698-9B94-4352-837D-B0676B72BC11}" name="Table6" displayName="Table6" ref="Z9:AA13" totalsRowShown="0" headerRowDxfId="89" dataDxfId="88">
  <autoFilter ref="Z9:AA13" xr:uid="{CE1FE698-9B94-4352-837D-B0676B72BC11}">
    <filterColumn colId="0" hiddenButton="1"/>
    <filterColumn colId="1" hiddenButton="1"/>
  </autoFilter>
  <tableColumns count="2">
    <tableColumn id="1" xr3:uid="{6C34D75D-D077-474D-B4A4-7D2CEEEB3419}" name="Quarters" dataDxfId="87"/>
    <tableColumn id="2" xr3:uid="{A312FBA8-7A1F-4DDE-B9D2-DCF413D0C703}" name="Revenue" dataDxfId="86">
      <calculatedColumnFormula>SUMIFS(Rawdata2[Revenue],Rawdata2[Financial Year],'Business and Sales'!$K$2,Rawdata2[Region],'Business and Sales'!$K$4,Rawdata2[Quarter],$Z10)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CDEEA2-E895-4E63-B28D-50CB3CBF87B9}" name="Table8" displayName="Table8" ref="Z15:AD35" totalsRowShown="0" headerRowDxfId="85" dataDxfId="84">
  <autoFilter ref="Z15:AD35" xr:uid="{89CDEEA2-E895-4E63-B28D-50CB3CBF87B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705F4B7-2689-4246-ACFD-716F609057E7}" name="Financial Year" dataDxfId="83"/>
    <tableColumn id="2" xr3:uid="{C1383B7C-A5A4-4A4B-B56D-6E90DC5D48F0}" name="Quarters" dataDxfId="82"/>
    <tableColumn id="3" xr3:uid="{1447B1B3-6AD5-4A6B-8B23-B3CF082A8F07}" name="Zomato" dataDxfId="81"/>
    <tableColumn id="4" xr3:uid="{B310CEF0-3DAF-40A5-BD2E-01ADD1965F86}" name="Swiggy" dataDxfId="80"/>
    <tableColumn id="5" xr3:uid="{ACCC3D1D-C499-4859-AC1C-BB8542AD2CEA}" name="Uber" dataDxfId="79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3FC9BD-7541-48BF-AC0D-18E2AED7E7AD}" name="Table11" displayName="Table11" ref="AF15:AJ16" totalsRowShown="0" headerRowDxfId="78" dataDxfId="77">
  <autoFilter ref="AF15:AJ16" xr:uid="{FD3FC9BD-7541-48BF-AC0D-18E2AED7E7A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E009D4B-3909-430B-B224-B8236AC3605B}" name="Financial Year" dataDxfId="76">
      <calculatedColumnFormula>'Business and Sales'!K2</calculatedColumnFormula>
    </tableColumn>
    <tableColumn id="2" xr3:uid="{9943C46D-9921-4FED-9F5A-890FD4CCC7D3}" name=" Quarters" dataDxfId="75">
      <calculatedColumnFormula>'Business and Sales'!N2</calculatedColumnFormula>
    </tableColumn>
    <tableColumn id="3" xr3:uid="{D265230C-5113-4A7C-AAF4-7833216D1460}" name="Zomato " dataDxfId="74">
      <calculatedColumnFormula>SUMIFS(Table8[Zomato],Table8[Financial Year],'Business and Sales'!$K$2,Table8[Quarters],'Business and Sales'!$N$2)</calculatedColumnFormula>
    </tableColumn>
    <tableColumn id="4" xr3:uid="{BF8BB74B-5BB2-42F7-B45A-9CD94836C9F0}" name="swiggy" dataDxfId="73">
      <calculatedColumnFormula>SUMIFS(Table8[Swiggy],Table8[Financial Year],'Business and Sales'!$K$2,Table8[Quarters],'Business and Sales'!$N$2)</calculatedColumnFormula>
    </tableColumn>
    <tableColumn id="5" xr3:uid="{E076347D-4115-4DAD-8D7D-9E32022E7D0B}" name="Uber" dataDxfId="72">
      <calculatedColumnFormula>SUMIFS(Table8[Uber],Table8[Financial Year],'Business and Sales'!$K$2,Table8[Quarters],'Business and Sales'!$N$2)</calculatedColumnFormula>
    </tableColumn>
  </tableColumns>
  <tableStyleInfo name="TableStyleLight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D36707-08CD-4427-B4EE-E7C00A28FD28}" name="Table12" displayName="Table12" ref="AF18:AI19" totalsRowShown="0" headerRowDxfId="71" dataDxfId="70">
  <autoFilter ref="AF18:AI19" xr:uid="{C8D36707-08CD-4427-B4EE-E7C00A28FD28}">
    <filterColumn colId="0" hiddenButton="1"/>
    <filterColumn colId="1" hiddenButton="1"/>
    <filterColumn colId="2" hiddenButton="1"/>
    <filterColumn colId="3" hiddenButton="1"/>
  </autoFilter>
  <tableColumns count="4">
    <tableColumn id="1" xr3:uid="{4AF31FAD-0CE8-4DED-92A8-F1DDE4C94C68}" name="Financial Year" dataDxfId="69">
      <calculatedColumnFormula>'Business and Sales'!K2</calculatedColumnFormula>
    </tableColumn>
    <tableColumn id="2" xr3:uid="{6B192B42-9D2A-4E72-8096-2040D3966388}" name="Quarter" dataDxfId="68">
      <calculatedColumnFormula>'Business and Sales'!N2</calculatedColumnFormula>
    </tableColumn>
    <tableColumn id="3" xr3:uid="{64367CD4-1694-47D1-90AF-85A016D24D64}" name="Cuisine" dataDxfId="67">
      <calculatedColumnFormula>'Business and Sales'!N4</calculatedColumnFormula>
    </tableColumn>
    <tableColumn id="4" xr3:uid="{E785B6B0-1046-4932-8518-87EAFF03E16F}" name="AOV" dataDxfId="66">
      <calculatedColumnFormula>SUMIFS(Rawdata2[Average Order Value],Rawdata2[Financial Year],'Business and Sales'!$K$2,Rawdata2[Quarter],'Business and Sales'!$N$2,Rawdata2[Cuisine],'Business and Sales'!$N$4)</calculatedColumnFormula>
    </tableColumn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91F5737-455C-4D6D-94B9-94E1E28657B3}" name="GaugeChart14" displayName="GaugeChart14" ref="AF21:AK27" totalsRowShown="0" headerRowDxfId="65" dataDxfId="64">
  <autoFilter ref="AF21:AK27" xr:uid="{C91F5737-455C-4D6D-94B9-94E1E28657B3}"/>
  <tableColumns count="6">
    <tableColumn id="1" xr3:uid="{7FF332BE-E002-437E-8806-CA02EC12D625}" name="Chart Value" dataDxfId="63"/>
    <tableColumn id="2" xr3:uid="{AE0280D4-323F-461D-B04B-A86170DCD14B}" name="Max" dataDxfId="62"/>
    <tableColumn id="3" xr3:uid="{B62A422B-67E8-4526-B663-4601227D4645}" name="Slices" dataDxfId="61"/>
    <tableColumn id="4" xr3:uid="{F25D3273-95C7-422E-B7B7-3AF682E633B4}" name="Degrees" dataDxfId="60"/>
    <tableColumn id="5" xr3:uid="{FEDF3C9A-AF0F-4B26-BC46-DF247722AD7A}" name="X-Values" dataDxfId="59"/>
    <tableColumn id="6" xr3:uid="{5559F7AC-306F-48AD-8C8B-21A9C141AA16}" name="Y-Values" dataDxfId="5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C32A05F-7CAC-4EB3-8DFF-4E88F71582B4}" name="Table14" displayName="Table14" ref="E1:Q101" totalsRowShown="0" headerRowDxfId="57" dataDxfId="56">
  <autoFilter ref="E1:Q101" xr:uid="{9C32A05F-7CAC-4EB3-8DFF-4E88F71582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D757E488-EFEE-4C45-B4EA-E472FE8A76C9}" name="Inquiry Time" dataDxfId="55"/>
    <tableColumn id="2" xr3:uid="{F8135D67-C78E-4AEE-8328-E597133D1AD3}" name="Time of Response" dataDxfId="54"/>
    <tableColumn id="3" xr3:uid="{B9F3E407-31F1-4619-9B4F-4F315D4D9DFF}" name="Response Time (minutes)" dataDxfId="53"/>
    <tableColumn id="4" xr3:uid="{F644D91B-A8C5-4DB9-8DDB-3049CB258B8B}" name="Customers Start" dataDxfId="52"/>
    <tableColumn id="5" xr3:uid="{64F9F298-0514-4A28-96EC-1ECE198C7F78}" name="New Customers Acquired" dataDxfId="51"/>
    <tableColumn id="6" xr3:uid="{45C4A740-59CD-463F-A26F-B97F4C9FECF5}" name="Customers End" dataDxfId="50"/>
    <tableColumn id="7" xr3:uid="{FC2B0118-668D-42B7-8CAB-82BC210FB3B3}" name="Customer Retention Rate (%)" dataDxfId="49">
      <calculatedColumnFormula>(Table14[[#This Row],[Customers End]]-Table14[[#This Row],[New Customers Acquired]])/Table14[[#This Row],[Customers Start]]</calculatedColumnFormula>
    </tableColumn>
    <tableColumn id="8" xr3:uid="{8B99E67E-02B6-43E2-8B07-0E5CD876E028}" name="Issues Reported" dataDxfId="48"/>
    <tableColumn id="9" xr3:uid="{C56E6C99-D920-4494-8153-1864ADE9217C}" name="Issues Resolved" dataDxfId="47"/>
    <tableColumn id="10" xr3:uid="{17885F71-5F1C-48F1-8A75-C7E4B86F7ED7}" name="Issue Resolution Rate (%)" dataDxfId="46"/>
    <tableColumn id="11" xr3:uid="{02A64943-3331-40A5-B4EB-6C1E8A66443C}" name="Promoters" dataDxfId="45"/>
    <tableColumn id="12" xr3:uid="{E4E1B751-2298-4DA4-A813-8FEEEF05CC03}" name="Detractors" dataDxfId="44"/>
    <tableColumn id="13" xr3:uid="{D0710CEC-A977-464D-9C71-4CB31BBC6B5D}" name="NPS" dataDxfId="43">
      <calculatedColumnFormula>Table14[[#This Row],[Promoters]]-Table14[[#This Row],[Detractors]]</calculatedColumnFormula>
    </tableColumn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ED7F2E9-5D6B-4C5D-A56D-337175CD487A}" name="Table16" displayName="Table16" ref="A1:D101" totalsRowShown="0" headerRowDxfId="42" dataDxfId="41">
  <autoFilter ref="A1:D101" xr:uid="{CED7F2E9-5D6B-4C5D-A56D-337175CD487A}"/>
  <tableColumns count="4">
    <tableColumn id="1" xr3:uid="{4B116F9E-6BF8-4360-B851-CAD76AF27DB7}" name="Time Period" dataDxfId="40"/>
    <tableColumn id="2" xr3:uid="{076EF414-A623-436C-8760-768B3BB21766}" name="Geographic Location" dataDxfId="39"/>
    <tableColumn id="3" xr3:uid="{58557FB3-BDD2-4FBF-89D5-0A5F7A1EC514}" name=" Channel" dataDxfId="38"/>
    <tableColumn id="4" xr3:uid="{A61B947F-030B-4644-A2AB-548FCBD47096}" name=" Segment" dataDxfId="37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61DD0BB-D936-4BFD-B92E-2945D32C5DAC}" name="Table17" displayName="Table17" ref="A1:B5" totalsRowShown="0" headerRowDxfId="36" dataDxfId="35">
  <autoFilter ref="A1:B5" xr:uid="{461DD0BB-D936-4BFD-B92E-2945D32C5DAC}">
    <filterColumn colId="0" hiddenButton="1"/>
    <filterColumn colId="1" hiddenButton="1"/>
  </autoFilter>
  <tableColumns count="2">
    <tableColumn id="1" xr3:uid="{715D5ABA-57CE-48C1-AF3D-CDB80FDACDBF}" name="Region" dataDxfId="34"/>
    <tableColumn id="2" xr3:uid="{60B41456-0C51-426B-80B0-4F8A5EDE1A01}" name="Response Time(minutes)" dataDxfId="33">
      <calculatedColumnFormula>SUMIFS(Table14[Response Time (minutes)],Table16[[ Channel]],'Customer Experience'!$N$4,Table16[[ Segment]],'Customer Experience'!$N$2,Table16[Geographic Location],$A2)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B0FD034-45E6-4899-99B8-3C3E59A8B8C9}" name="GaugeChart1419" displayName="GaugeChart1419" ref="A12:F18" totalsRowShown="0" headerRowDxfId="32" dataDxfId="31">
  <autoFilter ref="A12:F18" xr:uid="{7B0FD034-45E6-4899-99B8-3C3E59A8B8C9}"/>
  <tableColumns count="6">
    <tableColumn id="1" xr3:uid="{1A810789-C30B-4AA5-9AD0-48C15239E21E}" name="Chart Value" dataDxfId="30">
      <calculatedColumnFormula>J13</calculatedColumnFormula>
    </tableColumn>
    <tableColumn id="2" xr3:uid="{1AA9CB95-075F-436B-8831-5AECF62FCC5D}" name="Max" dataDxfId="29"/>
    <tableColumn id="3" xr3:uid="{ECA562C8-7453-4FDB-ABA7-8D3CFC2AB7B0}" name="Slices" dataDxfId="28"/>
    <tableColumn id="4" xr3:uid="{831886EA-1AC8-446E-91F3-261B08E22284}" name="Degrees" dataDxfId="27"/>
    <tableColumn id="5" xr3:uid="{C1C99909-310B-4B5B-8E4F-2EDE16304805}" name="X-Values" dataDxfId="26"/>
    <tableColumn id="6" xr3:uid="{0ED8A9CE-90B9-480B-B717-412EFEFCC5A0}" name="Y-Values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9EA1B7A-E80E-4D27-A7F1-40D414A61E6B}" name="GaugeChart1420" displayName="GaugeChart1420" ref="A21:F27" totalsRowShown="0" headerRowDxfId="24" dataDxfId="23">
  <autoFilter ref="A21:F27" xr:uid="{B9EA1B7A-E80E-4D27-A7F1-40D414A61E6B}"/>
  <tableColumns count="6">
    <tableColumn id="1" xr3:uid="{0087E68D-B14C-4DE1-B405-74057F736E07}" name="Chart Value" dataDxfId="22">
      <calculatedColumnFormula>J16</calculatedColumnFormula>
    </tableColumn>
    <tableColumn id="2" xr3:uid="{EE51E05D-356F-4152-8316-B713FED5B5BD}" name="Max" dataDxfId="21"/>
    <tableColumn id="3" xr3:uid="{AD491497-DBBA-464F-A22B-734281DDBC30}" name="Slices" dataDxfId="20"/>
    <tableColumn id="4" xr3:uid="{6EF5F926-89FE-46C6-9E8A-AF01AB778E0C}" name="Degrees" dataDxfId="19"/>
    <tableColumn id="5" xr3:uid="{F1DEB097-611A-4090-9DD0-DF8DF1B1868C}" name="X-Values" dataDxfId="18"/>
    <tableColumn id="6" xr3:uid="{DC1AE268-2381-47AB-9F38-B5F5E41D5CB6}" name="Y-Values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C7C7522-054E-400F-B60B-05173965420E}" name="Table20" displayName="Table20" ref="H12:J13" totalsRowShown="0">
  <autoFilter ref="H12:J13" xr:uid="{0C7C7522-054E-400F-B60B-05173965420E}">
    <filterColumn colId="0" hiddenButton="1"/>
    <filterColumn colId="1" hiddenButton="1"/>
    <filterColumn colId="2" hiddenButton="1"/>
  </autoFilter>
  <tableColumns count="3">
    <tableColumn id="1" xr3:uid="{6E0E3643-BDC9-4893-B17A-A019B027C3B7}" name="Region">
      <calculatedColumnFormula>'Customer Experience'!K4</calculatedColumnFormula>
    </tableColumn>
    <tableColumn id="2" xr3:uid="{3851B503-ABF7-4AA4-BE6E-AECC337C68D6}" name="Segment">
      <calculatedColumnFormula>'Customer Experience'!N2</calculatedColumnFormula>
    </tableColumn>
    <tableColumn id="3" xr3:uid="{E672155D-A2F6-4C25-AAAD-D2776B80BA96}" name="Customer Retention Score" dataDxfId="16" dataCellStyle="Percent">
      <calculatedColumnFormula array="1">INDEX(Table14[Customer Retention Rate (%)], MATCH(1, (Table16[[ Segment]]='Transformed Data2'!I13)*(Table16[Geographic Location]='Transformed Data2'!H13), 0))</calculatedColumnFormula>
    </tableColumn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3C600A1-459C-4689-BDA2-2ACAA9EEFE66}" name="Table21" displayName="Table21" ref="H18:I22" totalsRowShown="0">
  <autoFilter ref="H18:I22" xr:uid="{33C600A1-459C-4689-BDA2-2ACAA9EEFE66}">
    <filterColumn colId="0" hiddenButton="1"/>
    <filterColumn colId="1" hiddenButton="1"/>
  </autoFilter>
  <tableColumns count="2">
    <tableColumn id="1" xr3:uid="{C555EDAA-DC97-461A-BB0E-E6087B8BBA0E}" name="Region"/>
    <tableColumn id="2" xr3:uid="{B4E9C0A9-577A-417D-94A5-740C211ED34A}" name="Issues resolved" dataDxfId="15">
      <calculatedColumnFormula>SUMIFS(Table14[Issues Resolved],Table16[[ Channel]],'Customer Experience'!$N$4,Table16[[ Segment]],'Customer Experience'!$N$2,Table16[Geographic Location],Table21[[#This Row],[Region]])</calculatedColumnFormula>
    </tableColumn>
  </tableColumns>
  <tableStyleInfo name="TableStyleMedium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E31F92-9DC5-4524-BB7D-2FDDD137D520}" name="Table9" displayName="Table9" ref="A1:D6" totalsRowShown="0" headerRowDxfId="14" dataDxfId="13">
  <autoFilter ref="A1:D6" xr:uid="{71E31F92-9DC5-4524-BB7D-2FDDD137D520}">
    <filterColumn colId="0" hiddenButton="1"/>
    <filterColumn colId="1" hiddenButton="1"/>
    <filterColumn colId="2" hiddenButton="1"/>
    <filterColumn colId="3" hiddenButton="1"/>
  </autoFilter>
  <tableColumns count="4">
    <tableColumn id="1" xr3:uid="{A699D098-6708-4EBE-865E-74B0C3568E8B}" name="Financial Year" dataDxfId="12"/>
    <tableColumn id="2" xr3:uid="{75884393-873C-4810-A99B-36982564A29D}" name="CashFlow" dataDxfId="11"/>
    <tableColumn id="3" xr3:uid="{4CD90B73-BD77-4601-A65B-409DE4A993AB}" name="Negative" dataDxfId="10">
      <calculatedColumnFormula>IF(Table9[[#This Row],[CashFlow]]&lt;0,B2,)</calculatedColumnFormula>
    </tableColumn>
    <tableColumn id="4" xr3:uid="{749E14C9-CA7F-43EB-9DD4-92D5DB6CA8E5}" name="Positive" dataDxfId="9">
      <calculatedColumnFormula>IF(Table9[[#This Row],[CashFlow]]&gt;0,B2,)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935D5F-ED26-4CCD-912F-EDD67D0B04C5}" name="Table611" displayName="Table611" ref="A9:C13" totalsRowShown="0" headerRowDxfId="8" dataDxfId="7">
  <autoFilter ref="A9:C13" xr:uid="{7B935D5F-ED26-4CCD-912F-EDD67D0B04C5}">
    <filterColumn colId="0" hiddenButton="1"/>
    <filterColumn colId="1" hiddenButton="1"/>
    <filterColumn colId="2" hiddenButton="1"/>
  </autoFilter>
  <tableColumns count="3">
    <tableColumn id="1" xr3:uid="{3CCA55F6-0345-4189-8522-8AE04F5EBF6C}" name="Quarters" dataDxfId="6"/>
    <tableColumn id="2" xr3:uid="{565B07AB-03F7-40AB-A3FA-91087A11134C}" name="Revenue" dataDxfId="5">
      <calculatedColumnFormula>SUMIFS(Rawdata2[Revenue],Rawdata2[Financial Year],Financials!$K$2,Rawdata2[Region],Financials!$K$4,Rawdata2[Quarter],$A10)</calculatedColumnFormula>
    </tableColumn>
    <tableColumn id="3" xr3:uid="{A02F245E-AEB6-4078-A299-7C19911C8909}" name="Netincome" dataDxfId="4">
      <calculatedColumnFormula>SUMIFS(Rawdata2[Net Income],Rawdata2[Financial Year],Financials!$K$2,Rawdata2[Region],Financials!$K$4,Rawdata2[Quarter],$A10)</calculatedColumnFormula>
    </tableColumn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910C5E8-3423-4B8F-8AA0-89A76945E667}" name="Table15" displayName="Table15" ref="A16:B20" totalsRowShown="0" headerRowDxfId="3" dataDxfId="2">
  <autoFilter ref="A16:B20" xr:uid="{0910C5E8-3423-4B8F-8AA0-89A76945E667}">
    <filterColumn colId="0" hiddenButton="1"/>
    <filterColumn colId="1" hiddenButton="1"/>
  </autoFilter>
  <tableColumns count="2">
    <tableColumn id="1" xr3:uid="{FC81A7BD-F75B-450B-B02B-39E0978C4980}" name="quarter" dataDxfId="1"/>
    <tableColumn id="2" xr3:uid="{B06651AB-A33D-48CC-AB4C-1500AD277B1A}" name="Margin" dataDxfId="0" dataCellStyle="Percent">
      <calculatedColumnFormula array="1">INDEX(Rawdata2[Margin], MATCH(1, (Rawdata2[Quarter]='Raw Data 4'!A17)*(Rawdata2[Cuisine]=Financials!$N$4), 0))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ctrlProp" Target="../ctrlProps/ctrlProp15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8734-C57C-4036-BA21-BE286C6246CB}">
  <sheetPr codeName="Sheet1">
    <tabColor theme="4" tint="0.39997558519241921"/>
  </sheetPr>
  <dimension ref="A1:AA36"/>
  <sheetViews>
    <sheetView showGridLines="0" zoomScale="72" zoomScaleNormal="100" workbookViewId="0">
      <selection activeCell="AB18" sqref="AB18"/>
    </sheetView>
  </sheetViews>
  <sheetFormatPr defaultRowHeight="14.4" x14ac:dyDescent="0.3"/>
  <cols>
    <col min="1" max="1" width="10.5546875" bestFit="1" customWidth="1"/>
    <col min="2" max="2" width="5" bestFit="1" customWidth="1"/>
    <col min="3" max="3" width="6.109375" bestFit="1" customWidth="1"/>
    <col min="4" max="4" width="7.6640625" bestFit="1" customWidth="1"/>
    <col min="5" max="6" width="12" bestFit="1" customWidth="1"/>
    <col min="7" max="7" width="14" bestFit="1" customWidth="1"/>
    <col min="10" max="10" width="12.21875" bestFit="1" customWidth="1"/>
    <col min="11" max="11" width="11.21875" bestFit="1" customWidth="1"/>
    <col min="12" max="12" width="12.88671875" bestFit="1" customWidth="1"/>
    <col min="13" max="13" width="11.88671875" bestFit="1" customWidth="1"/>
    <col min="21" max="27" width="0" hidden="1" customWidth="1"/>
  </cols>
  <sheetData>
    <row r="1" spans="1:27" x14ac:dyDescent="0.3">
      <c r="A1" s="85" t="s">
        <v>66</v>
      </c>
      <c r="B1" s="86"/>
      <c r="C1" s="86"/>
      <c r="D1" s="86"/>
      <c r="E1" s="86"/>
      <c r="F1" s="86"/>
      <c r="G1" s="86"/>
      <c r="H1" s="86"/>
      <c r="I1" s="19"/>
      <c r="J1" s="19"/>
      <c r="K1" s="19"/>
      <c r="L1" s="19"/>
      <c r="M1" s="19"/>
      <c r="N1" s="19"/>
      <c r="O1" s="19"/>
      <c r="P1" s="19"/>
      <c r="Q1" s="21"/>
      <c r="U1">
        <v>7</v>
      </c>
      <c r="V1">
        <v>1</v>
      </c>
      <c r="W1" s="1" t="s">
        <v>7</v>
      </c>
      <c r="Y1">
        <v>4</v>
      </c>
      <c r="Z1">
        <v>1</v>
      </c>
      <c r="AA1">
        <v>2019</v>
      </c>
    </row>
    <row r="2" spans="1:27" x14ac:dyDescent="0.3">
      <c r="A2" s="86"/>
      <c r="B2" s="86"/>
      <c r="C2" s="86"/>
      <c r="D2" s="86"/>
      <c r="E2" s="86"/>
      <c r="F2" s="86"/>
      <c r="G2" s="86"/>
      <c r="H2" s="86"/>
      <c r="I2" s="19"/>
      <c r="J2" s="19"/>
      <c r="K2" s="19"/>
      <c r="L2" s="19"/>
      <c r="M2" s="19"/>
      <c r="N2" s="19"/>
      <c r="O2" s="19"/>
      <c r="P2" s="19"/>
      <c r="Q2" s="21"/>
      <c r="V2">
        <v>2</v>
      </c>
      <c r="W2" s="1" t="s">
        <v>2</v>
      </c>
      <c r="Z2">
        <v>2</v>
      </c>
      <c r="AA2">
        <v>2020</v>
      </c>
    </row>
    <row r="3" spans="1:27" ht="15.6" x14ac:dyDescent="0.3">
      <c r="A3" s="86"/>
      <c r="B3" s="86"/>
      <c r="C3" s="86"/>
      <c r="D3" s="86"/>
      <c r="E3" s="86"/>
      <c r="F3" s="86"/>
      <c r="G3" s="86"/>
      <c r="H3" s="86"/>
      <c r="I3" s="19"/>
      <c r="J3" s="20" t="s">
        <v>24</v>
      </c>
      <c r="K3" s="18" t="str">
        <f>VLOOKUP(U1,$V$1:$W$9,2,0)</f>
        <v>Vizag</v>
      </c>
      <c r="L3" s="19"/>
      <c r="M3" s="20" t="s">
        <v>17</v>
      </c>
      <c r="N3" s="18">
        <f>VLOOKUP(Y1,$Z$1:$AA$5,2,0)</f>
        <v>2022</v>
      </c>
      <c r="O3" s="19"/>
      <c r="P3" s="19"/>
      <c r="Q3" s="21"/>
      <c r="V3">
        <v>3</v>
      </c>
      <c r="W3" s="1" t="s">
        <v>1</v>
      </c>
      <c r="Z3">
        <v>3</v>
      </c>
      <c r="AA3">
        <v>2021</v>
      </c>
    </row>
    <row r="4" spans="1:27" x14ac:dyDescent="0.3">
      <c r="A4" s="86"/>
      <c r="B4" s="86"/>
      <c r="C4" s="86"/>
      <c r="D4" s="86"/>
      <c r="E4" s="86"/>
      <c r="F4" s="86"/>
      <c r="G4" s="86"/>
      <c r="H4" s="86"/>
      <c r="I4" s="19"/>
      <c r="J4" s="19"/>
      <c r="K4" s="19"/>
      <c r="L4" s="19"/>
      <c r="M4" s="19"/>
      <c r="N4" s="19"/>
      <c r="O4" s="19"/>
      <c r="P4" s="19"/>
      <c r="Q4" s="21"/>
      <c r="V4">
        <v>4</v>
      </c>
      <c r="W4" s="1" t="s">
        <v>6</v>
      </c>
      <c r="Z4">
        <v>4</v>
      </c>
      <c r="AA4">
        <v>2022</v>
      </c>
    </row>
    <row r="5" spans="1:27" s="22" customFormat="1" x14ac:dyDescent="0.3">
      <c r="A5" s="24"/>
      <c r="B5" s="24"/>
      <c r="C5" s="24"/>
      <c r="D5" s="24"/>
      <c r="E5" s="24"/>
      <c r="F5" s="24"/>
      <c r="G5" s="24"/>
      <c r="H5" s="24"/>
      <c r="I5" s="25"/>
      <c r="J5" s="25"/>
      <c r="K5" s="25"/>
      <c r="L5" s="25"/>
      <c r="M5" s="25"/>
      <c r="N5" s="25"/>
      <c r="O5" s="25"/>
      <c r="P5" s="25"/>
      <c r="Q5" s="24"/>
      <c r="V5" s="22">
        <v>5</v>
      </c>
      <c r="W5" s="23" t="s">
        <v>19</v>
      </c>
      <c r="Z5" s="22">
        <v>5</v>
      </c>
      <c r="AA5" s="22">
        <v>2023</v>
      </c>
    </row>
    <row r="6" spans="1:27" s="22" customFormat="1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V6" s="22">
        <v>6</v>
      </c>
      <c r="W6" s="23" t="s">
        <v>4</v>
      </c>
    </row>
    <row r="7" spans="1:27" s="22" customFormat="1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V7" s="22">
        <v>7</v>
      </c>
      <c r="W7" s="23" t="s">
        <v>8</v>
      </c>
    </row>
    <row r="8" spans="1:27" s="22" customFormat="1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V8" s="22">
        <v>8</v>
      </c>
      <c r="W8" s="23" t="s">
        <v>3</v>
      </c>
    </row>
    <row r="9" spans="1:27" s="22" customFormat="1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V9" s="22">
        <v>9</v>
      </c>
      <c r="W9" s="23" t="s">
        <v>5</v>
      </c>
    </row>
    <row r="10" spans="1:27" s="22" customFormat="1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</row>
    <row r="11" spans="1:27" s="22" customFormat="1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</row>
    <row r="12" spans="1:27" s="22" customFormat="1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</row>
    <row r="13" spans="1:27" s="22" customFormat="1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</row>
    <row r="14" spans="1:27" s="22" customFormat="1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</row>
    <row r="15" spans="1:27" s="22" customFormat="1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</row>
    <row r="16" spans="1:27" s="22" customFormat="1" ht="26.4" customHeight="1" x14ac:dyDescent="0.3">
      <c r="A16" s="24"/>
      <c r="B16" s="24"/>
      <c r="C16" s="24"/>
      <c r="D16" s="24"/>
      <c r="E16" s="24"/>
      <c r="F16" s="24"/>
      <c r="G16" s="87">
        <f>'Transformed data'!A2</f>
        <v>787</v>
      </c>
      <c r="H16" s="24"/>
      <c r="I16" s="24"/>
      <c r="J16" s="24"/>
      <c r="K16" s="24"/>
      <c r="L16" s="24"/>
      <c r="M16" s="24"/>
      <c r="N16" s="24"/>
      <c r="O16" s="24"/>
      <c r="P16" s="24"/>
      <c r="Q16" s="24"/>
    </row>
    <row r="17" spans="1:17" s="22" customFormat="1" x14ac:dyDescent="0.3">
      <c r="A17" s="24"/>
      <c r="B17" s="24"/>
      <c r="C17" s="24"/>
      <c r="D17" s="24"/>
      <c r="E17" s="24"/>
      <c r="F17" s="24"/>
      <c r="G17" s="87"/>
      <c r="H17" s="24"/>
      <c r="I17" s="24"/>
      <c r="J17" s="24"/>
      <c r="K17" s="24"/>
      <c r="L17" s="24"/>
      <c r="M17" s="24"/>
      <c r="N17" s="24"/>
      <c r="O17" s="24"/>
      <c r="P17" s="24"/>
      <c r="Q17" s="24"/>
    </row>
    <row r="18" spans="1:17" s="22" customFormat="1" x14ac:dyDescent="0.3">
      <c r="A18" s="24"/>
      <c r="B18" s="24"/>
      <c r="C18" s="24"/>
      <c r="D18" s="24"/>
      <c r="E18" s="24"/>
      <c r="F18" s="24"/>
      <c r="G18" s="87"/>
      <c r="H18" s="24"/>
      <c r="I18" s="24"/>
      <c r="J18" s="24"/>
      <c r="K18" s="24"/>
      <c r="L18" s="24"/>
      <c r="M18" s="24"/>
      <c r="N18" s="24"/>
      <c r="O18" s="24"/>
      <c r="P18" s="24"/>
      <c r="Q18" s="24"/>
    </row>
    <row r="19" spans="1:17" s="22" customFormat="1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</row>
    <row r="20" spans="1:17" s="22" customFormat="1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</row>
    <row r="21" spans="1:17" x14ac:dyDescent="0.3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</row>
    <row r="22" spans="1:17" x14ac:dyDescent="0.3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1:17" x14ac:dyDescent="0.3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</row>
    <row r="24" spans="1:17" x14ac:dyDescent="0.3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1:17" x14ac:dyDescent="0.3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1:17" x14ac:dyDescent="0.3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1:17" x14ac:dyDescent="0.3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</row>
    <row r="28" spans="1:17" x14ac:dyDescent="0.3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</row>
    <row r="29" spans="1:17" x14ac:dyDescent="0.3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</row>
    <row r="30" spans="1:17" x14ac:dyDescent="0.3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</row>
    <row r="31" spans="1:17" x14ac:dyDescent="0.3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</row>
    <row r="32" spans="1:17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</row>
    <row r="33" spans="1:17" x14ac:dyDescent="0.3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</row>
    <row r="34" spans="1:17" x14ac:dyDescent="0.3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</row>
    <row r="35" spans="1:17" x14ac:dyDescent="0.3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</row>
    <row r="36" spans="1:17" s="22" customFormat="1" x14ac:dyDescent="0.3"/>
  </sheetData>
  <mergeCells count="2">
    <mergeCell ref="A1:H4"/>
    <mergeCell ref="G16:G18"/>
  </mergeCells>
  <dataValidations count="1">
    <dataValidation showInputMessage="1" showErrorMessage="1" sqref="K3" xr:uid="{7129B477-36B7-402A-9FEE-2F7D5B64E8C8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Spinner 11">
              <controlPr defaultSize="0" autoPict="0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297180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Spinner 13">
              <controlPr defaultSize="0" autoPict="0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14</xdr:col>
                    <xdr:colOff>281940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839F-7658-454D-A347-E91661ED399E}">
  <sheetPr>
    <tabColor theme="5" tint="0.39997558519241921"/>
  </sheetPr>
  <dimension ref="A1:P43"/>
  <sheetViews>
    <sheetView showGridLines="0" zoomScale="59" zoomScaleNormal="80" workbookViewId="0">
      <selection activeCell="N4" sqref="N4"/>
    </sheetView>
  </sheetViews>
  <sheetFormatPr defaultRowHeight="14.4" x14ac:dyDescent="0.3"/>
  <cols>
    <col min="7" max="7" width="9.44140625" bestFit="1" customWidth="1"/>
    <col min="13" max="13" width="9.5546875" bestFit="1" customWidth="1"/>
    <col min="14" max="14" width="10.88671875" bestFit="1" customWidth="1"/>
  </cols>
  <sheetData>
    <row r="1" spans="1:16" x14ac:dyDescent="0.3">
      <c r="A1" s="88" t="s">
        <v>65</v>
      </c>
      <c r="B1" s="89"/>
      <c r="C1" s="89"/>
      <c r="D1" s="89"/>
      <c r="E1" s="89"/>
      <c r="F1" s="89"/>
      <c r="G1" s="89"/>
      <c r="H1" s="89"/>
      <c r="I1" s="89"/>
      <c r="J1" s="43"/>
      <c r="K1" s="43"/>
      <c r="L1" s="43"/>
      <c r="M1" s="43"/>
      <c r="N1" s="43"/>
      <c r="O1" s="43"/>
      <c r="P1" s="43"/>
    </row>
    <row r="2" spans="1:16" ht="18" x14ac:dyDescent="0.35">
      <c r="A2" s="89"/>
      <c r="B2" s="89"/>
      <c r="C2" s="89"/>
      <c r="D2" s="89"/>
      <c r="E2" s="89"/>
      <c r="F2" s="89"/>
      <c r="G2" s="89"/>
      <c r="H2" s="89"/>
      <c r="I2" s="89"/>
      <c r="J2" s="48" t="s">
        <v>34</v>
      </c>
      <c r="K2" s="47">
        <f>VLOOKUP('Raw Data 2'!S1,'Raw Data 2'!T1:U5,2,0)</f>
        <v>2020</v>
      </c>
      <c r="L2" s="43"/>
      <c r="M2" s="48" t="s">
        <v>54</v>
      </c>
      <c r="N2" s="47" t="str">
        <f>VLOOKUP('Raw Data 2'!W1,'Raw Data 2'!X1:Y4,2,0)</f>
        <v>Q2</v>
      </c>
      <c r="O2" s="43"/>
      <c r="P2" s="43"/>
    </row>
    <row r="3" spans="1:16" x14ac:dyDescent="0.3">
      <c r="A3" s="89"/>
      <c r="B3" s="89"/>
      <c r="C3" s="89"/>
      <c r="D3" s="89"/>
      <c r="E3" s="89"/>
      <c r="F3" s="89"/>
      <c r="G3" s="89"/>
      <c r="H3" s="89"/>
      <c r="I3" s="89"/>
      <c r="J3" s="43"/>
      <c r="K3" s="43"/>
      <c r="L3" s="43"/>
      <c r="M3" s="43"/>
      <c r="N3" s="43"/>
      <c r="O3" s="43"/>
      <c r="P3" s="43"/>
    </row>
    <row r="4" spans="1:16" ht="18" x14ac:dyDescent="0.35">
      <c r="A4" s="89"/>
      <c r="B4" s="89"/>
      <c r="C4" s="89"/>
      <c r="D4" s="89"/>
      <c r="E4" s="89"/>
      <c r="F4" s="89"/>
      <c r="G4" s="89"/>
      <c r="H4" s="89"/>
      <c r="I4" s="89"/>
      <c r="J4" s="48" t="s">
        <v>39</v>
      </c>
      <c r="K4" s="46" t="str">
        <f>VLOOKUP('Raw Data 2'!S7,'Raw Data 2'!T7:U10,2,0)</f>
        <v>South</v>
      </c>
      <c r="L4" s="45"/>
      <c r="M4" s="48" t="s">
        <v>40</v>
      </c>
      <c r="N4" s="47" t="str">
        <f>VLOOKUP('Raw Data 2'!S13,'Raw Data 2'!T13:U18,2,0)</f>
        <v>Chinese</v>
      </c>
      <c r="O4" s="44"/>
      <c r="P4" s="43"/>
    </row>
    <row r="5" spans="1:16" x14ac:dyDescent="0.3">
      <c r="A5" s="89"/>
      <c r="B5" s="89"/>
      <c r="C5" s="89"/>
      <c r="D5" s="89"/>
      <c r="E5" s="89"/>
      <c r="F5" s="89"/>
      <c r="G5" s="89"/>
      <c r="H5" s="89"/>
      <c r="I5" s="89"/>
      <c r="J5" s="43"/>
      <c r="K5" s="43"/>
      <c r="L5" s="43"/>
      <c r="M5" s="43"/>
      <c r="N5" s="43"/>
      <c r="O5" s="43"/>
      <c r="P5" s="43"/>
    </row>
    <row r="6" spans="1:16" x14ac:dyDescent="0.3">
      <c r="A6" s="50"/>
      <c r="B6" s="50"/>
      <c r="C6" s="50"/>
      <c r="D6" s="50"/>
      <c r="E6" s="50"/>
      <c r="F6" s="50"/>
      <c r="G6" s="50"/>
      <c r="H6" s="50"/>
    </row>
    <row r="7" spans="1:16" x14ac:dyDescent="0.3">
      <c r="A7" s="50"/>
      <c r="B7" s="50"/>
      <c r="C7" s="50"/>
      <c r="D7" s="50"/>
      <c r="E7" s="50"/>
      <c r="F7" s="50"/>
      <c r="G7" s="50"/>
      <c r="H7" s="50"/>
    </row>
    <row r="8" spans="1:16" x14ac:dyDescent="0.3">
      <c r="A8" s="50"/>
      <c r="B8" s="50"/>
      <c r="C8" s="50"/>
      <c r="D8" s="50"/>
      <c r="E8" s="50"/>
      <c r="F8" s="50"/>
      <c r="G8" s="50"/>
      <c r="H8" s="50"/>
    </row>
    <row r="9" spans="1:16" x14ac:dyDescent="0.3">
      <c r="A9" s="50"/>
      <c r="B9" s="50"/>
      <c r="C9" s="50"/>
      <c r="D9" s="50"/>
      <c r="E9" s="50"/>
      <c r="F9" s="50"/>
      <c r="G9" s="50"/>
      <c r="H9" s="50"/>
    </row>
    <row r="10" spans="1:16" x14ac:dyDescent="0.3">
      <c r="A10" s="50"/>
      <c r="B10" s="50"/>
      <c r="C10" s="50"/>
      <c r="D10" s="50"/>
      <c r="E10" s="50"/>
      <c r="F10" s="50"/>
      <c r="G10" s="50"/>
      <c r="H10" s="50"/>
    </row>
    <row r="11" spans="1:16" x14ac:dyDescent="0.3">
      <c r="A11" s="50"/>
      <c r="B11" s="50"/>
      <c r="C11" s="50"/>
      <c r="D11" s="50"/>
      <c r="E11" s="50"/>
      <c r="F11" s="50"/>
      <c r="G11" s="50"/>
      <c r="H11" s="50"/>
    </row>
    <row r="12" spans="1:16" x14ac:dyDescent="0.3">
      <c r="A12" s="50"/>
      <c r="B12" s="50"/>
      <c r="C12" s="50"/>
      <c r="D12" s="50"/>
      <c r="E12" s="50"/>
      <c r="F12" s="50"/>
      <c r="G12" s="50"/>
      <c r="H12" s="50"/>
    </row>
    <row r="13" spans="1:16" x14ac:dyDescent="0.3">
      <c r="A13" s="50"/>
      <c r="B13" s="50"/>
      <c r="C13" s="50"/>
      <c r="D13" s="50"/>
      <c r="E13" s="50"/>
      <c r="F13" s="50"/>
      <c r="G13" s="50"/>
      <c r="H13" s="50"/>
    </row>
    <row r="14" spans="1:16" x14ac:dyDescent="0.3">
      <c r="A14" s="50"/>
      <c r="B14" s="50"/>
      <c r="C14" s="50"/>
      <c r="D14" s="50"/>
      <c r="E14" s="50"/>
      <c r="F14" s="50"/>
      <c r="G14" s="50"/>
      <c r="H14" s="50"/>
    </row>
    <row r="15" spans="1:16" x14ac:dyDescent="0.3">
      <c r="A15" s="50"/>
      <c r="B15" s="50"/>
      <c r="C15" s="50"/>
      <c r="D15" s="50"/>
      <c r="E15" s="50"/>
      <c r="F15" s="50"/>
      <c r="G15" s="50"/>
      <c r="H15" s="50"/>
    </row>
    <row r="16" spans="1:16" x14ac:dyDescent="0.3">
      <c r="A16" s="50"/>
      <c r="B16" s="50"/>
      <c r="C16" s="50"/>
      <c r="D16" s="50"/>
      <c r="E16" s="50"/>
      <c r="F16" s="50"/>
      <c r="G16" s="50"/>
      <c r="H16" s="50"/>
    </row>
    <row r="17" spans="1:8" x14ac:dyDescent="0.3">
      <c r="A17" s="50"/>
      <c r="B17" s="50"/>
      <c r="C17" s="50"/>
      <c r="D17" s="50"/>
      <c r="E17" s="50"/>
      <c r="F17" s="50"/>
      <c r="G17" s="50"/>
      <c r="H17" s="50"/>
    </row>
    <row r="18" spans="1:8" x14ac:dyDescent="0.3">
      <c r="A18" s="50"/>
      <c r="B18" s="50"/>
      <c r="C18" s="50"/>
      <c r="D18" s="50"/>
      <c r="E18" s="50"/>
      <c r="F18" s="50"/>
      <c r="G18" s="50"/>
      <c r="H18" s="50"/>
    </row>
    <row r="19" spans="1:8" ht="14.4" customHeight="1" x14ac:dyDescent="0.3">
      <c r="A19" s="50"/>
      <c r="B19" s="50"/>
      <c r="C19" s="50"/>
      <c r="D19" s="50"/>
      <c r="E19" s="50"/>
      <c r="G19" s="90">
        <f>'Raw Data 2'!AF22</f>
        <v>0</v>
      </c>
      <c r="H19" s="90"/>
    </row>
    <row r="20" spans="1:8" ht="14.4" customHeight="1" x14ac:dyDescent="0.3">
      <c r="A20" s="50"/>
      <c r="B20" s="50"/>
      <c r="C20" s="50"/>
      <c r="D20" s="50"/>
      <c r="E20" s="50"/>
      <c r="F20" s="52"/>
      <c r="G20" s="90"/>
      <c r="H20" s="90"/>
    </row>
    <row r="21" spans="1:8" ht="18" customHeight="1" x14ac:dyDescent="0.3">
      <c r="A21" s="50"/>
      <c r="B21" s="50"/>
      <c r="C21" s="50"/>
      <c r="D21" s="50"/>
      <c r="E21" s="50"/>
      <c r="F21" s="53"/>
      <c r="G21" s="90"/>
      <c r="H21" s="90"/>
    </row>
    <row r="22" spans="1:8" ht="18" x14ac:dyDescent="0.3">
      <c r="A22" s="50"/>
      <c r="B22" s="50"/>
      <c r="C22" s="50"/>
      <c r="D22" s="50"/>
      <c r="E22" s="50"/>
      <c r="F22" s="50"/>
      <c r="G22" s="51"/>
      <c r="H22" s="50"/>
    </row>
    <row r="23" spans="1:8" x14ac:dyDescent="0.3">
      <c r="A23" s="50"/>
      <c r="B23" s="50"/>
      <c r="C23" s="50"/>
      <c r="D23" s="50"/>
      <c r="E23" s="50"/>
      <c r="F23" s="50"/>
      <c r="G23" s="50"/>
      <c r="H23" s="50"/>
    </row>
    <row r="24" spans="1:8" x14ac:dyDescent="0.3">
      <c r="A24" s="50"/>
      <c r="B24" s="50"/>
      <c r="C24" s="50"/>
      <c r="D24" s="50"/>
      <c r="E24" s="50"/>
      <c r="F24" s="50"/>
      <c r="G24" s="50"/>
      <c r="H24" s="50"/>
    </row>
    <row r="25" spans="1:8" x14ac:dyDescent="0.3">
      <c r="A25" s="49"/>
      <c r="B25" s="49"/>
      <c r="C25" s="49"/>
      <c r="D25" s="49"/>
      <c r="E25" s="49"/>
      <c r="F25" s="49"/>
      <c r="G25" s="49"/>
      <c r="H25" s="49"/>
    </row>
    <row r="26" spans="1:8" x14ac:dyDescent="0.3">
      <c r="A26" s="49"/>
      <c r="B26" s="49"/>
      <c r="C26" s="49"/>
      <c r="D26" s="49"/>
      <c r="E26" s="49"/>
      <c r="F26" s="49"/>
      <c r="G26" s="49"/>
      <c r="H26" s="49"/>
    </row>
    <row r="27" spans="1:8" x14ac:dyDescent="0.3">
      <c r="A27" s="49"/>
      <c r="B27" s="49"/>
      <c r="C27" s="49"/>
      <c r="D27" s="49"/>
      <c r="E27" s="49"/>
      <c r="F27" s="49"/>
      <c r="G27" s="49"/>
      <c r="H27" s="49"/>
    </row>
    <row r="28" spans="1:8" x14ac:dyDescent="0.3">
      <c r="A28" s="49"/>
      <c r="B28" s="49"/>
      <c r="C28" s="49"/>
      <c r="D28" s="49"/>
      <c r="E28" s="49"/>
      <c r="F28" s="49"/>
      <c r="G28" s="49"/>
      <c r="H28" s="49"/>
    </row>
    <row r="29" spans="1:8" x14ac:dyDescent="0.3">
      <c r="A29" s="49"/>
      <c r="B29" s="49"/>
      <c r="C29" s="49"/>
      <c r="D29" s="49"/>
      <c r="E29" s="49"/>
      <c r="F29" s="49"/>
      <c r="G29" s="49"/>
      <c r="H29" s="49"/>
    </row>
    <row r="30" spans="1:8" x14ac:dyDescent="0.3">
      <c r="A30" s="49"/>
      <c r="B30" s="49"/>
      <c r="C30" s="49"/>
      <c r="D30" s="49"/>
      <c r="E30" s="49"/>
      <c r="F30" s="49"/>
      <c r="G30" s="49"/>
      <c r="H30" s="49"/>
    </row>
    <row r="31" spans="1:8" x14ac:dyDescent="0.3">
      <c r="A31" s="49"/>
      <c r="B31" s="49"/>
      <c r="C31" s="49"/>
      <c r="D31" s="49"/>
      <c r="E31" s="49"/>
      <c r="F31" s="49"/>
      <c r="G31" s="49"/>
      <c r="H31" s="49"/>
    </row>
    <row r="32" spans="1:8" x14ac:dyDescent="0.3">
      <c r="A32" s="49"/>
      <c r="B32" s="49"/>
      <c r="C32" s="49"/>
      <c r="D32" s="49"/>
      <c r="E32" s="49"/>
      <c r="F32" s="49"/>
      <c r="G32" s="49"/>
      <c r="H32" s="49"/>
    </row>
    <row r="33" spans="1:8" x14ac:dyDescent="0.3">
      <c r="A33" s="49"/>
      <c r="B33" s="49"/>
      <c r="C33" s="49"/>
      <c r="D33" s="49"/>
      <c r="E33" s="49"/>
      <c r="F33" s="49"/>
      <c r="G33" s="49"/>
      <c r="H33" s="49"/>
    </row>
    <row r="34" spans="1:8" x14ac:dyDescent="0.3">
      <c r="A34" s="49"/>
      <c r="B34" s="49"/>
      <c r="C34" s="49"/>
      <c r="D34" s="49"/>
      <c r="E34" s="49"/>
      <c r="F34" s="49"/>
      <c r="G34" s="49"/>
      <c r="H34" s="49"/>
    </row>
    <row r="35" spans="1:8" x14ac:dyDescent="0.3">
      <c r="A35" s="49"/>
      <c r="B35" s="49"/>
      <c r="C35" s="49"/>
      <c r="D35" s="49"/>
      <c r="E35" s="49"/>
      <c r="F35" s="49"/>
      <c r="G35" s="49"/>
      <c r="H35" s="49"/>
    </row>
    <row r="36" spans="1:8" x14ac:dyDescent="0.3">
      <c r="A36" s="49"/>
      <c r="B36" s="49"/>
      <c r="C36" s="49"/>
      <c r="D36" s="49"/>
      <c r="E36" s="49"/>
      <c r="F36" s="49"/>
      <c r="G36" s="49"/>
      <c r="H36" s="49"/>
    </row>
    <row r="37" spans="1:8" x14ac:dyDescent="0.3">
      <c r="A37" s="49"/>
      <c r="B37" s="49"/>
      <c r="C37" s="49"/>
      <c r="D37" s="49"/>
      <c r="E37" s="49"/>
      <c r="F37" s="49"/>
      <c r="G37" s="49"/>
      <c r="H37" s="49"/>
    </row>
    <row r="38" spans="1:8" x14ac:dyDescent="0.3">
      <c r="A38" s="49"/>
      <c r="B38" s="49"/>
      <c r="C38" s="49"/>
      <c r="D38" s="49"/>
      <c r="E38" s="49"/>
      <c r="F38" s="49"/>
      <c r="G38" s="49"/>
      <c r="H38" s="49"/>
    </row>
    <row r="39" spans="1:8" x14ac:dyDescent="0.3">
      <c r="A39" s="49"/>
      <c r="B39" s="49"/>
      <c r="C39" s="49"/>
      <c r="D39" s="49"/>
      <c r="E39" s="49"/>
      <c r="F39" s="49"/>
      <c r="G39" s="49"/>
      <c r="H39" s="49"/>
    </row>
    <row r="40" spans="1:8" x14ac:dyDescent="0.3">
      <c r="A40" s="49"/>
      <c r="B40" s="49"/>
      <c r="C40" s="49"/>
      <c r="D40" s="49"/>
      <c r="E40" s="49"/>
      <c r="F40" s="49"/>
      <c r="G40" s="49"/>
      <c r="H40" s="49"/>
    </row>
    <row r="41" spans="1:8" x14ac:dyDescent="0.3">
      <c r="A41" s="49"/>
      <c r="B41" s="49"/>
      <c r="C41" s="49"/>
      <c r="D41" s="49"/>
      <c r="E41" s="49"/>
      <c r="F41" s="49"/>
      <c r="G41" s="49"/>
      <c r="H41" s="49"/>
    </row>
    <row r="42" spans="1:8" x14ac:dyDescent="0.3">
      <c r="A42" s="49"/>
      <c r="B42" s="49"/>
      <c r="C42" s="49"/>
      <c r="D42" s="49"/>
      <c r="E42" s="49"/>
      <c r="F42" s="49"/>
      <c r="G42" s="49"/>
      <c r="H42" s="49"/>
    </row>
    <row r="43" spans="1:8" x14ac:dyDescent="0.3">
      <c r="A43" s="49"/>
      <c r="B43" s="49"/>
      <c r="C43" s="49"/>
      <c r="D43" s="49"/>
      <c r="E43" s="49"/>
      <c r="F43" s="49"/>
      <c r="G43" s="49"/>
      <c r="H43" s="49"/>
    </row>
  </sheetData>
  <mergeCells count="2">
    <mergeCell ref="A1:I5"/>
    <mergeCell ref="G19:H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Spinner 2">
              <controlPr defaultSize="0" autoPict="0">
                <anchor moveWithCells="1" sizeWithCells="1">
                  <from>
                    <xdr:col>11</xdr:col>
                    <xdr:colOff>30480</xdr:colOff>
                    <xdr:row>1</xdr:row>
                    <xdr:rowOff>0</xdr:rowOff>
                  </from>
                  <to>
                    <xdr:col>11</xdr:col>
                    <xdr:colOff>312420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Spinner 3">
              <controlPr defaultSize="0" autoPict="0">
                <anchor moveWithCells="1" sizeWithCells="1">
                  <from>
                    <xdr:col>14</xdr:col>
                    <xdr:colOff>22860</xdr:colOff>
                    <xdr:row>1</xdr:row>
                    <xdr:rowOff>7620</xdr:rowOff>
                  </from>
                  <to>
                    <xdr:col>14</xdr:col>
                    <xdr:colOff>236220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Spinner 4">
              <controlPr defaultSize="0" autoPict="0">
                <anchor moveWithCells="1" sizeWithCells="1">
                  <from>
                    <xdr:col>11</xdr:col>
                    <xdr:colOff>30480</xdr:colOff>
                    <xdr:row>3</xdr:row>
                    <xdr:rowOff>7620</xdr:rowOff>
                  </from>
                  <to>
                    <xdr:col>11</xdr:col>
                    <xdr:colOff>281940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Spinner 5">
              <controlPr defaultSize="0" autoPict="0">
                <anchor moveWithCells="1" sizeWithCells="1">
                  <from>
                    <xdr:col>14</xdr:col>
                    <xdr:colOff>15240</xdr:colOff>
                    <xdr:row>2</xdr:row>
                    <xdr:rowOff>175260</xdr:rowOff>
                  </from>
                  <to>
                    <xdr:col>14</xdr:col>
                    <xdr:colOff>312420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883B1-8B1D-440C-B10C-32BC62282E79}">
  <sheetPr>
    <tabColor theme="6" tint="0.39997558519241921"/>
  </sheetPr>
  <dimension ref="A1:P43"/>
  <sheetViews>
    <sheetView showGridLines="0" zoomScale="53" zoomScaleNormal="60" workbookViewId="0">
      <selection activeCell="T26" sqref="T26"/>
    </sheetView>
  </sheetViews>
  <sheetFormatPr defaultRowHeight="14.4" x14ac:dyDescent="0.3"/>
  <cols>
    <col min="7" max="7" width="9.44140625" bestFit="1" customWidth="1"/>
    <col min="10" max="10" width="14.21875" bestFit="1" customWidth="1"/>
    <col min="11" max="11" width="12.77734375" bestFit="1" customWidth="1"/>
    <col min="13" max="13" width="9.5546875" bestFit="1" customWidth="1"/>
    <col min="14" max="14" width="28.21875" bestFit="1" customWidth="1"/>
  </cols>
  <sheetData>
    <row r="1" spans="1:16" x14ac:dyDescent="0.3">
      <c r="A1" s="91" t="s">
        <v>103</v>
      </c>
      <c r="B1" s="92"/>
      <c r="C1" s="92"/>
      <c r="D1" s="92"/>
      <c r="E1" s="92"/>
      <c r="F1" s="92"/>
      <c r="G1" s="92"/>
      <c r="H1" s="92"/>
      <c r="I1" s="92"/>
      <c r="J1" s="55"/>
      <c r="K1" s="55"/>
      <c r="L1" s="55"/>
      <c r="M1" s="55"/>
      <c r="N1" s="55"/>
      <c r="O1" s="55"/>
      <c r="P1" s="55"/>
    </row>
    <row r="2" spans="1:16" ht="18" x14ac:dyDescent="0.35">
      <c r="A2" s="92"/>
      <c r="B2" s="92"/>
      <c r="C2" s="92"/>
      <c r="D2" s="92"/>
      <c r="E2" s="92"/>
      <c r="F2" s="92"/>
      <c r="G2" s="92"/>
      <c r="H2" s="92"/>
      <c r="I2" s="92"/>
      <c r="J2" s="56" t="s">
        <v>79</v>
      </c>
      <c r="K2" s="47" t="str">
        <f>VLOOKUP('Transformed Data2'!H1,'Transformed Data2'!I1:J4,2,0)</f>
        <v>Morning</v>
      </c>
      <c r="L2" s="55"/>
      <c r="M2" s="56" t="s">
        <v>96</v>
      </c>
      <c r="N2" s="47" t="str">
        <f>VLOOKUP('Transformed Data2'!H6,'Transformed Data2'!I6:J8,2,0)</f>
        <v>Occasional</v>
      </c>
      <c r="O2" s="55"/>
      <c r="P2" s="55"/>
    </row>
    <row r="3" spans="1:16" x14ac:dyDescent="0.3">
      <c r="A3" s="92"/>
      <c r="B3" s="92"/>
      <c r="C3" s="92"/>
      <c r="D3" s="92"/>
      <c r="E3" s="92"/>
      <c r="F3" s="92"/>
      <c r="G3" s="92"/>
      <c r="H3" s="92"/>
      <c r="I3" s="92"/>
      <c r="J3" s="55"/>
      <c r="K3" s="55"/>
      <c r="L3" s="55"/>
      <c r="M3" s="55"/>
      <c r="N3" s="55"/>
      <c r="O3" s="55"/>
      <c r="P3" s="55"/>
    </row>
    <row r="4" spans="1:16" ht="18" x14ac:dyDescent="0.35">
      <c r="A4" s="92"/>
      <c r="B4" s="92"/>
      <c r="C4" s="92"/>
      <c r="D4" s="92"/>
      <c r="E4" s="92"/>
      <c r="F4" s="92"/>
      <c r="G4" s="92"/>
      <c r="H4" s="92"/>
      <c r="I4" s="92"/>
      <c r="J4" s="56" t="s">
        <v>39</v>
      </c>
      <c r="K4" s="46" t="str">
        <f>VLOOKUP('Transformed Data2'!L1,'Transformed Data2'!M1:N4,2,0)</f>
        <v>East</v>
      </c>
      <c r="L4" s="58"/>
      <c r="M4" s="56" t="s">
        <v>94</v>
      </c>
      <c r="N4" s="47" t="str">
        <f>VLOOKUP('Transformed Data2'!P1,'Transformed Data2'!Q1:R3,2,0)</f>
        <v>Email</v>
      </c>
      <c r="O4" s="57"/>
      <c r="P4" s="55"/>
    </row>
    <row r="5" spans="1:16" x14ac:dyDescent="0.3">
      <c r="A5" s="92"/>
      <c r="B5" s="92"/>
      <c r="C5" s="92"/>
      <c r="D5" s="92"/>
      <c r="E5" s="92"/>
      <c r="F5" s="92"/>
      <c r="G5" s="92"/>
      <c r="H5" s="92"/>
      <c r="I5" s="92"/>
      <c r="J5" s="55"/>
      <c r="K5" s="55"/>
      <c r="L5" s="55"/>
      <c r="M5" s="55"/>
      <c r="N5" s="55"/>
      <c r="O5" s="55"/>
      <c r="P5" s="55"/>
    </row>
    <row r="6" spans="1:16" x14ac:dyDescent="0.3">
      <c r="A6" s="59"/>
      <c r="B6" s="59"/>
      <c r="C6" s="59"/>
      <c r="D6" s="59"/>
      <c r="E6" s="59"/>
      <c r="F6" s="59"/>
      <c r="G6" s="59"/>
      <c r="H6" s="59"/>
      <c r="I6" s="61"/>
      <c r="J6" s="61"/>
      <c r="K6" s="61"/>
      <c r="L6" s="61"/>
      <c r="M6" s="61"/>
      <c r="N6" s="61"/>
      <c r="O6" s="61"/>
      <c r="P6" s="61"/>
    </row>
    <row r="7" spans="1:16" x14ac:dyDescent="0.3">
      <c r="A7" s="59"/>
      <c r="B7" s="59"/>
      <c r="C7" s="59"/>
      <c r="D7" s="59"/>
      <c r="E7" s="59"/>
      <c r="F7" s="59"/>
      <c r="G7" s="59"/>
      <c r="H7" s="59"/>
      <c r="I7" s="61"/>
      <c r="J7" s="61"/>
      <c r="K7" s="61"/>
      <c r="L7" s="61"/>
      <c r="M7" s="61"/>
      <c r="N7" s="61"/>
      <c r="O7" s="61"/>
      <c r="P7" s="61"/>
    </row>
    <row r="8" spans="1:16" x14ac:dyDescent="0.3">
      <c r="A8" s="59"/>
      <c r="B8" s="59"/>
      <c r="C8" s="59"/>
      <c r="D8" s="59"/>
      <c r="E8" s="59"/>
      <c r="F8" s="59"/>
      <c r="G8" s="59"/>
      <c r="H8" s="59"/>
      <c r="I8" s="61"/>
      <c r="J8" s="61"/>
      <c r="K8" s="61"/>
      <c r="L8" s="61"/>
      <c r="M8" s="61"/>
      <c r="N8" s="61"/>
      <c r="O8" s="61"/>
      <c r="P8" s="61"/>
    </row>
    <row r="9" spans="1:16" x14ac:dyDescent="0.3">
      <c r="A9" s="59"/>
      <c r="B9" s="59"/>
      <c r="C9" s="59"/>
      <c r="D9" s="59"/>
      <c r="E9" s="59"/>
      <c r="F9" s="59"/>
      <c r="G9" s="59"/>
      <c r="H9" s="59"/>
      <c r="I9" s="61"/>
      <c r="J9" s="61"/>
      <c r="K9" s="61"/>
      <c r="L9" s="61"/>
      <c r="M9" s="61"/>
      <c r="N9" s="61"/>
      <c r="O9" s="61"/>
      <c r="P9" s="61"/>
    </row>
    <row r="10" spans="1:16" x14ac:dyDescent="0.3">
      <c r="A10" s="59"/>
      <c r="B10" s="59"/>
      <c r="C10" s="59"/>
      <c r="D10" s="59"/>
      <c r="E10" s="59"/>
      <c r="F10" s="59"/>
      <c r="G10" s="59"/>
      <c r="H10" s="59"/>
      <c r="I10" s="61"/>
      <c r="J10" s="61"/>
      <c r="K10" s="61"/>
      <c r="L10" s="61"/>
      <c r="M10" s="61"/>
      <c r="N10" s="61"/>
      <c r="O10" s="61"/>
      <c r="P10" s="61"/>
    </row>
    <row r="11" spans="1:16" x14ac:dyDescent="0.3">
      <c r="A11" s="59"/>
      <c r="B11" s="59"/>
      <c r="C11" s="59"/>
      <c r="D11" s="59"/>
      <c r="E11" s="59"/>
      <c r="F11" s="59"/>
      <c r="G11" s="59"/>
      <c r="H11" s="59"/>
      <c r="I11" s="61"/>
      <c r="J11" s="61"/>
      <c r="K11" s="61"/>
      <c r="L11" s="61"/>
      <c r="M11" s="61"/>
      <c r="N11" s="61"/>
      <c r="O11" s="61"/>
      <c r="P11" s="61"/>
    </row>
    <row r="12" spans="1:16" x14ac:dyDescent="0.3">
      <c r="A12" s="59"/>
      <c r="B12" s="59"/>
      <c r="C12" s="59"/>
      <c r="D12" s="59"/>
      <c r="E12" s="59"/>
      <c r="F12" s="59"/>
      <c r="G12" s="59"/>
      <c r="H12" s="59"/>
      <c r="I12" s="61"/>
      <c r="J12" s="61"/>
      <c r="K12" s="61"/>
      <c r="L12" s="61"/>
      <c r="M12" s="61"/>
      <c r="N12" s="61"/>
      <c r="O12" s="61"/>
      <c r="P12" s="61"/>
    </row>
    <row r="13" spans="1:16" x14ac:dyDescent="0.3">
      <c r="A13" s="59"/>
      <c r="B13" s="59"/>
      <c r="C13" s="59"/>
      <c r="D13" s="59"/>
      <c r="E13" s="59"/>
      <c r="F13" s="59"/>
      <c r="G13" s="59"/>
      <c r="H13" s="59"/>
      <c r="I13" s="61"/>
      <c r="J13" s="61"/>
      <c r="K13" s="61"/>
      <c r="L13" s="61"/>
      <c r="M13" s="61"/>
      <c r="N13" s="61"/>
      <c r="O13" s="61"/>
      <c r="P13" s="61"/>
    </row>
    <row r="14" spans="1:16" x14ac:dyDescent="0.3">
      <c r="A14" s="59"/>
      <c r="B14" s="59"/>
      <c r="C14" s="59"/>
      <c r="D14" s="59"/>
      <c r="E14" s="59"/>
      <c r="F14" s="59"/>
      <c r="G14" s="59"/>
      <c r="H14" s="59"/>
      <c r="I14" s="61"/>
      <c r="J14" s="61"/>
      <c r="K14" s="61"/>
      <c r="L14" s="61"/>
      <c r="M14" s="61"/>
      <c r="N14" s="61"/>
      <c r="O14" s="61"/>
      <c r="P14" s="61"/>
    </row>
    <row r="15" spans="1:16" x14ac:dyDescent="0.3">
      <c r="A15" s="59"/>
      <c r="B15" s="59"/>
      <c r="C15" s="59"/>
      <c r="D15" s="59"/>
      <c r="E15" s="59"/>
      <c r="F15" s="59"/>
      <c r="G15" s="59"/>
      <c r="H15" s="59"/>
      <c r="I15" s="61"/>
      <c r="J15" s="61"/>
      <c r="K15" s="61"/>
      <c r="L15" s="61"/>
      <c r="M15" s="61"/>
      <c r="N15" s="61"/>
      <c r="O15" s="61"/>
      <c r="P15" s="61"/>
    </row>
    <row r="16" spans="1:16" x14ac:dyDescent="0.3">
      <c r="A16" s="59"/>
      <c r="B16" s="59"/>
      <c r="C16" s="59"/>
      <c r="D16" s="59"/>
      <c r="E16" s="59"/>
      <c r="F16" s="59"/>
      <c r="G16" s="59"/>
      <c r="H16" s="59"/>
      <c r="I16" s="61"/>
      <c r="J16" s="61"/>
      <c r="K16" s="61"/>
      <c r="L16" s="61"/>
      <c r="M16" s="61"/>
      <c r="N16" s="61"/>
      <c r="O16" s="61"/>
      <c r="P16" s="61"/>
    </row>
    <row r="17" spans="1:16" x14ac:dyDescent="0.3">
      <c r="A17" s="59"/>
      <c r="B17" s="59"/>
      <c r="C17" s="59"/>
      <c r="D17" s="59"/>
      <c r="E17" s="59"/>
      <c r="F17" s="59"/>
      <c r="G17" s="59"/>
      <c r="H17" s="59"/>
      <c r="I17" s="61"/>
      <c r="J17" s="94" t="s">
        <v>100</v>
      </c>
      <c r="K17" s="95"/>
      <c r="L17" s="95"/>
      <c r="M17" s="61"/>
      <c r="N17" s="98" t="s">
        <v>99</v>
      </c>
      <c r="O17" s="99"/>
      <c r="P17" s="61"/>
    </row>
    <row r="18" spans="1:16" x14ac:dyDescent="0.3">
      <c r="A18" s="59"/>
      <c r="B18" s="59"/>
      <c r="C18" s="59"/>
      <c r="D18" s="59"/>
      <c r="E18" s="59"/>
      <c r="F18" s="59"/>
      <c r="G18" s="59"/>
      <c r="H18" s="59"/>
      <c r="I18" s="61"/>
      <c r="J18" s="95"/>
      <c r="K18" s="95"/>
      <c r="L18" s="95"/>
      <c r="M18" s="61"/>
      <c r="N18" s="99"/>
      <c r="O18" s="99"/>
      <c r="P18" s="61"/>
    </row>
    <row r="19" spans="1:16" ht="14.4" customHeight="1" x14ac:dyDescent="0.3">
      <c r="A19" s="59"/>
      <c r="B19" s="59"/>
      <c r="C19" s="59"/>
      <c r="D19" s="59"/>
      <c r="E19" s="59"/>
      <c r="F19" s="59"/>
      <c r="G19" s="93"/>
      <c r="H19" s="93"/>
      <c r="I19" s="61"/>
      <c r="J19" s="95"/>
      <c r="K19" s="95"/>
      <c r="L19" s="95"/>
      <c r="M19" s="61"/>
      <c r="N19" s="99"/>
      <c r="O19" s="99"/>
      <c r="P19" s="61"/>
    </row>
    <row r="20" spans="1:16" ht="14.4" customHeight="1" x14ac:dyDescent="0.3">
      <c r="A20" s="59"/>
      <c r="B20" s="59"/>
      <c r="C20" s="59"/>
      <c r="D20" s="59"/>
      <c r="E20" s="59"/>
      <c r="F20" s="62"/>
      <c r="G20" s="93"/>
      <c r="H20" s="93"/>
      <c r="I20" s="61"/>
      <c r="J20" s="61"/>
      <c r="K20" s="61"/>
      <c r="L20" s="61"/>
      <c r="M20" s="61"/>
      <c r="N20" s="61"/>
      <c r="O20" s="61"/>
      <c r="P20" s="61"/>
    </row>
    <row r="21" spans="1:16" ht="18" customHeight="1" x14ac:dyDescent="0.3">
      <c r="A21" s="59"/>
      <c r="B21" s="59"/>
      <c r="C21" s="59"/>
      <c r="D21" s="59"/>
      <c r="E21" s="59"/>
      <c r="F21" s="62"/>
      <c r="G21" s="93"/>
      <c r="H21" s="93"/>
      <c r="I21" s="61"/>
      <c r="J21" s="96">
        <f>'Transformed Data2'!A15</f>
        <v>99.894957983193279</v>
      </c>
      <c r="K21" s="97"/>
      <c r="L21" s="97"/>
      <c r="M21" s="61"/>
      <c r="N21" s="97">
        <f>'Transformed Data2'!J16</f>
        <v>56</v>
      </c>
      <c r="O21" s="97"/>
      <c r="P21" s="61"/>
    </row>
    <row r="22" spans="1:16" ht="18" x14ac:dyDescent="0.3">
      <c r="A22" s="59"/>
      <c r="B22" s="59"/>
      <c r="C22" s="59"/>
      <c r="D22" s="59"/>
      <c r="E22" s="59"/>
      <c r="F22" s="59"/>
      <c r="G22" s="60"/>
      <c r="H22" s="59"/>
      <c r="I22" s="61"/>
      <c r="J22" s="97"/>
      <c r="K22" s="97"/>
      <c r="L22" s="97"/>
      <c r="M22" s="61"/>
      <c r="N22" s="97"/>
      <c r="O22" s="97"/>
      <c r="P22" s="61"/>
    </row>
    <row r="23" spans="1:16" x14ac:dyDescent="0.3">
      <c r="A23" s="59"/>
      <c r="B23" s="59"/>
      <c r="C23" s="59"/>
      <c r="D23" s="59"/>
      <c r="E23" s="59"/>
      <c r="F23" s="59"/>
      <c r="G23" s="59"/>
      <c r="H23" s="59"/>
      <c r="I23" s="61"/>
      <c r="J23" s="61"/>
      <c r="K23" s="61"/>
      <c r="L23" s="61"/>
      <c r="M23" s="61"/>
      <c r="N23" s="61"/>
      <c r="O23" s="61"/>
      <c r="P23" s="61"/>
    </row>
    <row r="24" spans="1:16" x14ac:dyDescent="0.3">
      <c r="A24" s="59"/>
      <c r="B24" s="59"/>
      <c r="C24" s="59"/>
      <c r="D24" s="59"/>
      <c r="E24" s="59"/>
      <c r="F24" s="59"/>
      <c r="G24" s="59"/>
      <c r="H24" s="59"/>
      <c r="I24" s="61"/>
      <c r="J24" s="61"/>
      <c r="K24" s="61"/>
      <c r="L24" s="61"/>
      <c r="M24" s="61"/>
      <c r="N24" s="61"/>
      <c r="O24" s="61"/>
      <c r="P24" s="61"/>
    </row>
    <row r="25" spans="1:16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</row>
    <row r="26" spans="1:16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</row>
    <row r="27" spans="1:16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</row>
    <row r="28" spans="1:16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</row>
    <row r="29" spans="1:16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</row>
    <row r="30" spans="1:16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1:16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</row>
    <row r="32" spans="1:16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</row>
    <row r="33" spans="1:16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</row>
    <row r="34" spans="1:16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</row>
    <row r="35" spans="1:16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</row>
    <row r="36" spans="1:16" ht="56.4" customHeight="1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</row>
    <row r="37" spans="1:16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</row>
    <row r="38" spans="1:16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</row>
    <row r="39" spans="1:16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</row>
    <row r="40" spans="1:16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</row>
    <row r="41" spans="1:16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</row>
    <row r="42" spans="1:16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</row>
    <row r="43" spans="1:16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</row>
  </sheetData>
  <mergeCells count="6">
    <mergeCell ref="A1:I5"/>
    <mergeCell ref="G19:H21"/>
    <mergeCell ref="J17:L19"/>
    <mergeCell ref="J21:L22"/>
    <mergeCell ref="N17:O19"/>
    <mergeCell ref="N21:O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Spinner 1">
              <controlPr defaultSize="0" autoPict="0">
                <anchor moveWithCells="1" sizeWithCells="1">
                  <from>
                    <xdr:col>11</xdr:col>
                    <xdr:colOff>30480</xdr:colOff>
                    <xdr:row>1</xdr:row>
                    <xdr:rowOff>0</xdr:rowOff>
                  </from>
                  <to>
                    <xdr:col>11</xdr:col>
                    <xdr:colOff>312420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Spinner 2">
              <controlPr defaultSize="0" autoPict="0">
                <anchor moveWithCells="1" sizeWithCells="1">
                  <from>
                    <xdr:col>14</xdr:col>
                    <xdr:colOff>22860</xdr:colOff>
                    <xdr:row>1</xdr:row>
                    <xdr:rowOff>7620</xdr:rowOff>
                  </from>
                  <to>
                    <xdr:col>14</xdr:col>
                    <xdr:colOff>236220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Spinner 3">
              <controlPr defaultSize="0" autoPict="0">
                <anchor moveWithCells="1" sizeWithCells="1">
                  <from>
                    <xdr:col>11</xdr:col>
                    <xdr:colOff>30480</xdr:colOff>
                    <xdr:row>3</xdr:row>
                    <xdr:rowOff>7620</xdr:rowOff>
                  </from>
                  <to>
                    <xdr:col>11</xdr:col>
                    <xdr:colOff>281940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Spinner 4">
              <controlPr defaultSize="0" autoPict="0">
                <anchor moveWithCells="1" sizeWithCells="1">
                  <from>
                    <xdr:col>14</xdr:col>
                    <xdr:colOff>15240</xdr:colOff>
                    <xdr:row>2</xdr:row>
                    <xdr:rowOff>175260</xdr:rowOff>
                  </from>
                  <to>
                    <xdr:col>14</xdr:col>
                    <xdr:colOff>312420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024A-37A0-44E7-9911-220AF125FB58}">
  <sheetPr>
    <tabColor theme="8" tint="0.39997558519241921"/>
  </sheetPr>
  <dimension ref="A1:P43"/>
  <sheetViews>
    <sheetView showGridLines="0" tabSelected="1" zoomScale="56" zoomScaleNormal="74" workbookViewId="0">
      <selection activeCell="U32" sqref="U32"/>
    </sheetView>
  </sheetViews>
  <sheetFormatPr defaultRowHeight="14.4" x14ac:dyDescent="0.3"/>
  <cols>
    <col min="7" max="7" width="9.44140625" bestFit="1" customWidth="1"/>
    <col min="10" max="10" width="14.21875" bestFit="1" customWidth="1"/>
    <col min="11" max="11" width="12.77734375" bestFit="1" customWidth="1"/>
    <col min="13" max="13" width="9.5546875" bestFit="1" customWidth="1"/>
    <col min="14" max="14" width="28.21875" bestFit="1" customWidth="1"/>
  </cols>
  <sheetData>
    <row r="1" spans="1:16" x14ac:dyDescent="0.3">
      <c r="A1" s="100" t="s">
        <v>112</v>
      </c>
      <c r="B1" s="101"/>
      <c r="C1" s="101"/>
      <c r="D1" s="101"/>
      <c r="E1" s="101"/>
      <c r="F1" s="101"/>
      <c r="G1" s="101"/>
      <c r="H1" s="101"/>
      <c r="I1" s="101"/>
      <c r="J1" s="70"/>
      <c r="K1" s="70"/>
      <c r="L1" s="70"/>
      <c r="M1" s="70"/>
      <c r="N1" s="70"/>
      <c r="O1" s="70"/>
      <c r="P1" s="70"/>
    </row>
    <row r="2" spans="1:16" ht="18" x14ac:dyDescent="0.35">
      <c r="A2" s="101"/>
      <c r="B2" s="101"/>
      <c r="C2" s="101"/>
      <c r="D2" s="101"/>
      <c r="E2" s="101"/>
      <c r="F2" s="101"/>
      <c r="G2" s="101"/>
      <c r="H2" s="101"/>
      <c r="I2" s="101"/>
      <c r="J2" s="72" t="s">
        <v>34</v>
      </c>
      <c r="K2" s="47">
        <f>VLOOKUP('Raw Data 4'!L1,'Raw Data 4'!M1:N5,2,0)</f>
        <v>2022</v>
      </c>
      <c r="L2" s="70"/>
      <c r="M2" s="72" t="s">
        <v>54</v>
      </c>
      <c r="N2" s="47" t="str">
        <f>VLOOKUP('Raw Data 4'!L8,'Raw Data 4'!M8:N11,2,0)</f>
        <v>Q2</v>
      </c>
      <c r="O2" s="70"/>
      <c r="P2" s="70"/>
    </row>
    <row r="3" spans="1:16" x14ac:dyDescent="0.3">
      <c r="A3" s="101"/>
      <c r="B3" s="101"/>
      <c r="C3" s="101"/>
      <c r="D3" s="101"/>
      <c r="E3" s="101"/>
      <c r="F3" s="101"/>
      <c r="G3" s="101"/>
      <c r="H3" s="101"/>
      <c r="I3" s="101"/>
      <c r="J3" s="70"/>
      <c r="K3" s="70"/>
      <c r="L3" s="70"/>
      <c r="M3" s="70"/>
      <c r="N3" s="70"/>
      <c r="O3" s="70"/>
      <c r="P3" s="70"/>
    </row>
    <row r="4" spans="1:16" ht="18" x14ac:dyDescent="0.35">
      <c r="A4" s="101"/>
      <c r="B4" s="101"/>
      <c r="C4" s="101"/>
      <c r="D4" s="101"/>
      <c r="E4" s="101"/>
      <c r="F4" s="101"/>
      <c r="G4" s="101"/>
      <c r="H4" s="101"/>
      <c r="I4" s="101"/>
      <c r="J4" s="72" t="s">
        <v>39</v>
      </c>
      <c r="K4" s="46" t="str">
        <f>VLOOKUP('Transformed Data2'!L1,'Transformed Data2'!M1:N4,2,0)</f>
        <v>East</v>
      </c>
      <c r="L4" s="73"/>
      <c r="M4" s="72" t="s">
        <v>40</v>
      </c>
      <c r="N4" s="47" t="str">
        <f>VLOOKUP('Raw Data 2'!S13,'Raw Data 2'!T13:U18,2,0)</f>
        <v>Chinese</v>
      </c>
      <c r="O4" s="71"/>
      <c r="P4" s="70"/>
    </row>
    <row r="5" spans="1:16" x14ac:dyDescent="0.3">
      <c r="A5" s="101"/>
      <c r="B5" s="101"/>
      <c r="C5" s="101"/>
      <c r="D5" s="101"/>
      <c r="E5" s="101"/>
      <c r="F5" s="101"/>
      <c r="G5" s="101"/>
      <c r="H5" s="101"/>
      <c r="I5" s="101"/>
      <c r="J5" s="70"/>
      <c r="K5" s="70"/>
      <c r="L5" s="70"/>
      <c r="M5" s="70"/>
      <c r="N5" s="70"/>
      <c r="O5" s="70"/>
      <c r="P5" s="70"/>
    </row>
    <row r="6" spans="1:16" x14ac:dyDescent="0.3">
      <c r="A6" s="75"/>
      <c r="B6" s="75"/>
      <c r="C6" s="75"/>
      <c r="D6" s="75"/>
      <c r="E6" s="75"/>
      <c r="F6" s="75"/>
      <c r="G6" s="75"/>
      <c r="H6" s="75"/>
      <c r="I6" s="74"/>
      <c r="J6" s="74"/>
      <c r="K6" s="74"/>
      <c r="L6" s="74"/>
      <c r="M6" s="74"/>
      <c r="N6" s="74"/>
      <c r="O6" s="74"/>
      <c r="P6" s="74"/>
    </row>
    <row r="7" spans="1:16" x14ac:dyDescent="0.3">
      <c r="A7" s="75"/>
      <c r="B7" s="75"/>
      <c r="C7" s="75"/>
      <c r="D7" s="75"/>
      <c r="E7" s="75"/>
      <c r="F7" s="75"/>
      <c r="G7" s="75"/>
      <c r="H7" s="75"/>
      <c r="I7" s="74"/>
      <c r="J7" s="74"/>
      <c r="K7" s="74"/>
      <c r="L7" s="74"/>
      <c r="M7" s="74"/>
      <c r="N7" s="74"/>
      <c r="O7" s="74"/>
      <c r="P7" s="74"/>
    </row>
    <row r="8" spans="1:16" x14ac:dyDescent="0.3">
      <c r="A8" s="75"/>
      <c r="B8" s="75"/>
      <c r="C8" s="75"/>
      <c r="D8" s="75"/>
      <c r="E8" s="75"/>
      <c r="F8" s="75"/>
      <c r="G8" s="75"/>
      <c r="H8" s="75"/>
      <c r="I8" s="74"/>
      <c r="J8" s="74"/>
      <c r="K8" s="74"/>
      <c r="L8" s="74"/>
      <c r="M8" s="74"/>
      <c r="N8" s="74"/>
      <c r="O8" s="74"/>
      <c r="P8" s="74"/>
    </row>
    <row r="9" spans="1:16" x14ac:dyDescent="0.3">
      <c r="A9" s="75"/>
      <c r="B9" s="75"/>
      <c r="C9" s="75"/>
      <c r="D9" s="75"/>
      <c r="E9" s="75"/>
      <c r="F9" s="75"/>
      <c r="G9" s="75"/>
      <c r="H9" s="75"/>
      <c r="I9" s="74"/>
      <c r="J9" s="74"/>
      <c r="K9" s="74"/>
      <c r="L9" s="74"/>
      <c r="M9" s="74"/>
      <c r="N9" s="74"/>
      <c r="O9" s="74"/>
      <c r="P9" s="74"/>
    </row>
    <row r="10" spans="1:16" x14ac:dyDescent="0.3">
      <c r="A10" s="75"/>
      <c r="B10" s="75"/>
      <c r="C10" s="75"/>
      <c r="D10" s="75"/>
      <c r="E10" s="75"/>
      <c r="F10" s="75"/>
      <c r="G10" s="75"/>
      <c r="H10" s="75"/>
      <c r="I10" s="74"/>
      <c r="J10" s="74"/>
      <c r="K10" s="74"/>
      <c r="L10" s="74"/>
      <c r="M10" s="74"/>
      <c r="N10" s="74"/>
      <c r="O10" s="74"/>
      <c r="P10" s="74"/>
    </row>
    <row r="11" spans="1:16" x14ac:dyDescent="0.3">
      <c r="A11" s="75"/>
      <c r="B11" s="75"/>
      <c r="C11" s="75"/>
      <c r="D11" s="75"/>
      <c r="E11" s="75"/>
      <c r="F11" s="75"/>
      <c r="G11" s="75"/>
      <c r="H11" s="75"/>
      <c r="I11" s="74"/>
      <c r="J11" s="74"/>
      <c r="K11" s="74"/>
      <c r="L11" s="74"/>
      <c r="M11" s="74"/>
      <c r="N11" s="74"/>
      <c r="O11" s="74"/>
      <c r="P11" s="74"/>
    </row>
    <row r="12" spans="1:16" x14ac:dyDescent="0.3">
      <c r="A12" s="75"/>
      <c r="B12" s="75"/>
      <c r="C12" s="75"/>
      <c r="D12" s="75"/>
      <c r="E12" s="75"/>
      <c r="F12" s="75"/>
      <c r="G12" s="75"/>
      <c r="H12" s="75"/>
      <c r="I12" s="74"/>
      <c r="J12" s="74"/>
      <c r="K12" s="74"/>
      <c r="L12" s="74"/>
      <c r="M12" s="74"/>
      <c r="N12" s="74"/>
      <c r="O12" s="74"/>
      <c r="P12" s="74"/>
    </row>
    <row r="13" spans="1:16" x14ac:dyDescent="0.3">
      <c r="A13" s="75"/>
      <c r="B13" s="75"/>
      <c r="C13" s="75"/>
      <c r="D13" s="75"/>
      <c r="E13" s="75"/>
      <c r="F13" s="75"/>
      <c r="G13" s="75"/>
      <c r="H13" s="75"/>
      <c r="I13" s="74"/>
      <c r="J13" s="74"/>
      <c r="K13" s="74"/>
      <c r="L13" s="74"/>
      <c r="M13" s="74"/>
      <c r="N13" s="74"/>
      <c r="O13" s="74"/>
      <c r="P13" s="74"/>
    </row>
    <row r="14" spans="1:16" x14ac:dyDescent="0.3">
      <c r="A14" s="75"/>
      <c r="B14" s="75"/>
      <c r="C14" s="75"/>
      <c r="D14" s="75"/>
      <c r="E14" s="75"/>
      <c r="F14" s="75"/>
      <c r="G14" s="75"/>
      <c r="H14" s="75"/>
      <c r="I14" s="74"/>
      <c r="J14" s="74"/>
      <c r="K14" s="74"/>
      <c r="L14" s="74"/>
      <c r="M14" s="74"/>
      <c r="N14" s="74"/>
      <c r="O14" s="74"/>
      <c r="P14" s="74"/>
    </row>
    <row r="15" spans="1:16" x14ac:dyDescent="0.3">
      <c r="A15" s="75"/>
      <c r="B15" s="75"/>
      <c r="C15" s="75"/>
      <c r="D15" s="75"/>
      <c r="E15" s="75"/>
      <c r="F15" s="75"/>
      <c r="G15" s="75"/>
      <c r="H15" s="75"/>
      <c r="I15" s="74"/>
      <c r="J15" s="74"/>
      <c r="K15" s="74"/>
      <c r="L15" s="74"/>
      <c r="M15" s="74"/>
      <c r="N15" s="74"/>
      <c r="O15" s="74"/>
      <c r="P15" s="74"/>
    </row>
    <row r="16" spans="1:16" x14ac:dyDescent="0.3">
      <c r="A16" s="75"/>
      <c r="B16" s="75"/>
      <c r="C16" s="75"/>
      <c r="D16" s="75"/>
      <c r="E16" s="75"/>
      <c r="F16" s="75"/>
      <c r="G16" s="75"/>
      <c r="H16" s="75"/>
      <c r="I16" s="74"/>
      <c r="J16" s="74"/>
      <c r="K16" s="74"/>
      <c r="L16" s="74"/>
      <c r="M16" s="74"/>
      <c r="N16" s="74"/>
      <c r="O16" s="74"/>
      <c r="P16" s="74"/>
    </row>
    <row r="17" spans="1:16" x14ac:dyDescent="0.3">
      <c r="A17" s="75"/>
      <c r="B17" s="75"/>
      <c r="C17" s="75"/>
      <c r="D17" s="75"/>
      <c r="E17" s="75"/>
      <c r="F17" s="75"/>
      <c r="G17" s="75"/>
      <c r="H17" s="75"/>
      <c r="I17" s="74"/>
      <c r="J17" s="102"/>
      <c r="K17" s="103"/>
      <c r="L17" s="103"/>
      <c r="M17" s="74"/>
      <c r="N17" s="104"/>
      <c r="O17" s="105"/>
      <c r="P17" s="74"/>
    </row>
    <row r="18" spans="1:16" x14ac:dyDescent="0.3">
      <c r="A18" s="75"/>
      <c r="B18" s="75"/>
      <c r="C18" s="75"/>
      <c r="D18" s="75"/>
      <c r="E18" s="75"/>
      <c r="F18" s="75"/>
      <c r="G18" s="75"/>
      <c r="H18" s="75"/>
      <c r="I18" s="74"/>
      <c r="J18" s="103"/>
      <c r="K18" s="103"/>
      <c r="L18" s="103"/>
      <c r="M18" s="74"/>
      <c r="N18" s="105"/>
      <c r="O18" s="105"/>
      <c r="P18" s="74"/>
    </row>
    <row r="19" spans="1:16" ht="14.4" customHeight="1" x14ac:dyDescent="0.3">
      <c r="A19" s="75"/>
      <c r="B19" s="75"/>
      <c r="C19" s="75"/>
      <c r="D19" s="75"/>
      <c r="E19" s="75"/>
      <c r="F19" s="75"/>
      <c r="G19" s="106"/>
      <c r="H19" s="106"/>
      <c r="I19" s="74"/>
      <c r="J19" s="103"/>
      <c r="K19" s="103"/>
      <c r="L19" s="103"/>
      <c r="M19" s="74"/>
      <c r="N19" s="105"/>
      <c r="O19" s="105"/>
      <c r="P19" s="74"/>
    </row>
    <row r="20" spans="1:16" ht="14.4" customHeight="1" x14ac:dyDescent="0.3">
      <c r="A20" s="75"/>
      <c r="B20" s="75"/>
      <c r="C20" s="75"/>
      <c r="D20" s="75"/>
      <c r="E20" s="75"/>
      <c r="F20" s="81"/>
      <c r="G20" s="106"/>
      <c r="H20" s="106"/>
      <c r="I20" s="74"/>
      <c r="J20" s="74"/>
      <c r="K20" s="74"/>
      <c r="L20" s="74"/>
      <c r="M20" s="74"/>
      <c r="N20" s="74"/>
      <c r="O20" s="74"/>
      <c r="P20" s="74"/>
    </row>
    <row r="21" spans="1:16" ht="18" customHeight="1" x14ac:dyDescent="0.3">
      <c r="A21" s="75"/>
      <c r="B21" s="75"/>
      <c r="C21" s="75"/>
      <c r="D21" s="75"/>
      <c r="E21" s="75"/>
      <c r="F21" s="81"/>
      <c r="G21" s="106"/>
      <c r="H21" s="106"/>
      <c r="I21" s="74"/>
      <c r="J21" s="107"/>
      <c r="K21" s="108"/>
      <c r="L21" s="108"/>
      <c r="M21" s="74"/>
      <c r="N21" s="108"/>
      <c r="O21" s="108"/>
      <c r="P21" s="74"/>
    </row>
    <row r="22" spans="1:16" ht="18" x14ac:dyDescent="0.3">
      <c r="A22" s="75"/>
      <c r="B22" s="75"/>
      <c r="C22" s="75"/>
      <c r="D22" s="75"/>
      <c r="E22" s="75"/>
      <c r="F22" s="75"/>
      <c r="G22" s="82"/>
      <c r="H22" s="75"/>
      <c r="I22" s="74"/>
      <c r="J22" s="108"/>
      <c r="K22" s="108"/>
      <c r="L22" s="108"/>
      <c r="M22" s="74"/>
      <c r="N22" s="108"/>
      <c r="O22" s="108"/>
      <c r="P22" s="74"/>
    </row>
    <row r="23" spans="1:16" x14ac:dyDescent="0.3">
      <c r="A23" s="75"/>
      <c r="B23" s="75"/>
      <c r="C23" s="75"/>
      <c r="D23" s="75"/>
      <c r="E23" s="75"/>
      <c r="F23" s="75"/>
      <c r="G23" s="75"/>
      <c r="H23" s="75"/>
      <c r="I23" s="74"/>
      <c r="J23" s="74"/>
      <c r="K23" s="74"/>
      <c r="L23" s="74"/>
      <c r="M23" s="74"/>
      <c r="N23" s="74"/>
      <c r="O23" s="74"/>
      <c r="P23" s="74"/>
    </row>
    <row r="24" spans="1:16" x14ac:dyDescent="0.3">
      <c r="A24" s="75"/>
      <c r="B24" s="75"/>
      <c r="C24" s="75"/>
      <c r="D24" s="75"/>
      <c r="E24" s="75"/>
      <c r="F24" s="75"/>
      <c r="G24" s="75"/>
      <c r="H24" s="75"/>
      <c r="I24" s="74"/>
      <c r="J24" s="74"/>
      <c r="K24" s="74"/>
      <c r="L24" s="74"/>
      <c r="M24" s="74"/>
      <c r="N24" s="74"/>
      <c r="O24" s="74"/>
      <c r="P24" s="74"/>
    </row>
    <row r="25" spans="1:16" x14ac:dyDescent="0.3">
      <c r="A25" s="74"/>
      <c r="B25" s="74"/>
      <c r="C25" s="74"/>
      <c r="D25" s="74"/>
      <c r="E25" s="74"/>
      <c r="F25" s="74"/>
      <c r="G25" s="74"/>
      <c r="H25" s="74"/>
      <c r="I25" s="75"/>
      <c r="J25" s="75"/>
      <c r="K25" s="75"/>
      <c r="L25" s="75"/>
      <c r="M25" s="75"/>
      <c r="N25" s="75"/>
      <c r="O25" s="75"/>
      <c r="P25" s="75"/>
    </row>
    <row r="26" spans="1:16" x14ac:dyDescent="0.3">
      <c r="A26" s="74"/>
      <c r="B26" s="74"/>
      <c r="C26" s="74"/>
      <c r="D26" s="74"/>
      <c r="E26" s="74"/>
      <c r="F26" s="74"/>
      <c r="G26" s="74"/>
      <c r="H26" s="74"/>
      <c r="I26" s="75"/>
      <c r="J26" s="75"/>
      <c r="K26" s="75"/>
      <c r="L26" s="75"/>
      <c r="M26" s="75"/>
      <c r="N26" s="75"/>
      <c r="O26" s="75"/>
      <c r="P26" s="75"/>
    </row>
    <row r="27" spans="1:16" x14ac:dyDescent="0.3">
      <c r="A27" s="74"/>
      <c r="B27" s="74"/>
      <c r="C27" s="74"/>
      <c r="D27" s="74"/>
      <c r="E27" s="74"/>
      <c r="F27" s="74"/>
      <c r="G27" s="74"/>
      <c r="H27" s="74"/>
      <c r="I27" s="75"/>
      <c r="J27" s="75"/>
      <c r="K27" s="75"/>
      <c r="L27" s="75"/>
      <c r="M27" s="75"/>
      <c r="N27" s="75"/>
      <c r="O27" s="75"/>
      <c r="P27" s="75"/>
    </row>
    <row r="28" spans="1:16" x14ac:dyDescent="0.3">
      <c r="A28" s="74"/>
      <c r="B28" s="74"/>
      <c r="C28" s="74"/>
      <c r="D28" s="74"/>
      <c r="E28" s="74"/>
      <c r="F28" s="74"/>
      <c r="G28" s="74"/>
      <c r="H28" s="74"/>
      <c r="I28" s="75"/>
      <c r="J28" s="75"/>
      <c r="K28" s="75"/>
      <c r="L28" s="75"/>
      <c r="M28" s="75"/>
      <c r="N28" s="75"/>
      <c r="O28" s="75"/>
      <c r="P28" s="75"/>
    </row>
    <row r="29" spans="1:16" x14ac:dyDescent="0.3">
      <c r="A29" s="74"/>
      <c r="B29" s="74"/>
      <c r="C29" s="74"/>
      <c r="D29" s="74"/>
      <c r="E29" s="74"/>
      <c r="F29" s="74"/>
      <c r="G29" s="74"/>
      <c r="H29" s="74"/>
      <c r="I29" s="75"/>
      <c r="J29" s="75"/>
      <c r="K29" s="75"/>
      <c r="L29" s="75"/>
      <c r="M29" s="75"/>
      <c r="N29" s="75"/>
      <c r="O29" s="75"/>
      <c r="P29" s="75"/>
    </row>
    <row r="30" spans="1:16" x14ac:dyDescent="0.3">
      <c r="A30" s="74"/>
      <c r="B30" s="74"/>
      <c r="C30" s="74"/>
      <c r="D30" s="74"/>
      <c r="E30" s="74"/>
      <c r="F30" s="74"/>
      <c r="G30" s="74"/>
      <c r="H30" s="74"/>
      <c r="I30" s="75"/>
      <c r="J30" s="75"/>
      <c r="K30" s="75"/>
      <c r="L30" s="75"/>
      <c r="M30" s="75"/>
      <c r="N30" s="75"/>
      <c r="O30" s="75"/>
      <c r="P30" s="75"/>
    </row>
    <row r="31" spans="1:16" x14ac:dyDescent="0.3">
      <c r="A31" s="74"/>
      <c r="B31" s="74"/>
      <c r="C31" s="74"/>
      <c r="D31" s="74"/>
      <c r="E31" s="74"/>
      <c r="F31" s="74"/>
      <c r="G31" s="74"/>
      <c r="H31" s="74"/>
      <c r="I31" s="75"/>
      <c r="J31" s="75"/>
      <c r="K31" s="75"/>
      <c r="L31" s="75"/>
      <c r="M31" s="75"/>
      <c r="N31" s="75"/>
      <c r="O31" s="75"/>
      <c r="P31" s="75"/>
    </row>
    <row r="32" spans="1:16" x14ac:dyDescent="0.3">
      <c r="A32" s="74"/>
      <c r="B32" s="74"/>
      <c r="C32" s="74"/>
      <c r="D32" s="74"/>
      <c r="E32" s="74"/>
      <c r="F32" s="74"/>
      <c r="G32" s="74"/>
      <c r="H32" s="74"/>
      <c r="I32" s="75"/>
      <c r="J32" s="75"/>
      <c r="K32" s="75"/>
      <c r="L32" s="75"/>
      <c r="M32" s="75"/>
      <c r="N32" s="75"/>
      <c r="O32" s="75"/>
      <c r="P32" s="75"/>
    </row>
    <row r="33" spans="1:16" x14ac:dyDescent="0.3">
      <c r="A33" s="74"/>
      <c r="B33" s="74"/>
      <c r="C33" s="74"/>
      <c r="D33" s="74"/>
      <c r="E33" s="74"/>
      <c r="F33" s="74"/>
      <c r="G33" s="74"/>
      <c r="H33" s="74"/>
      <c r="I33" s="75"/>
      <c r="J33" s="75"/>
      <c r="K33" s="75"/>
      <c r="L33" s="75"/>
      <c r="M33" s="75"/>
      <c r="N33" s="75"/>
      <c r="O33" s="75"/>
      <c r="P33" s="75"/>
    </row>
    <row r="34" spans="1:16" x14ac:dyDescent="0.3">
      <c r="A34" s="74"/>
      <c r="B34" s="74"/>
      <c r="C34" s="74"/>
      <c r="D34" s="74"/>
      <c r="E34" s="74"/>
      <c r="F34" s="74"/>
      <c r="G34" s="74"/>
      <c r="H34" s="74"/>
      <c r="I34" s="75"/>
      <c r="J34" s="75"/>
      <c r="K34" s="75"/>
      <c r="L34" s="75"/>
      <c r="M34" s="75"/>
      <c r="N34" s="75"/>
      <c r="O34" s="75"/>
      <c r="P34" s="75"/>
    </row>
    <row r="35" spans="1:16" x14ac:dyDescent="0.3">
      <c r="A35" s="74"/>
      <c r="B35" s="74"/>
      <c r="C35" s="74"/>
      <c r="D35" s="74"/>
      <c r="E35" s="74"/>
      <c r="F35" s="74"/>
      <c r="G35" s="74"/>
      <c r="H35" s="74"/>
      <c r="I35" s="75"/>
      <c r="J35" s="75"/>
      <c r="K35" s="75"/>
      <c r="L35" s="75"/>
      <c r="M35" s="75"/>
      <c r="N35" s="75"/>
      <c r="O35" s="75"/>
      <c r="P35" s="75"/>
    </row>
    <row r="36" spans="1:16" ht="56.4" customHeight="1" x14ac:dyDescent="0.3">
      <c r="A36" s="74"/>
      <c r="B36" s="74"/>
      <c r="C36" s="74"/>
      <c r="D36" s="74"/>
      <c r="E36" s="74"/>
      <c r="F36" s="74"/>
      <c r="G36" s="74"/>
      <c r="H36" s="74"/>
      <c r="I36" s="75"/>
      <c r="J36" s="75"/>
      <c r="K36" s="75"/>
      <c r="L36" s="75"/>
      <c r="M36" s="75"/>
      <c r="N36" s="75"/>
      <c r="O36" s="75"/>
      <c r="P36" s="75"/>
    </row>
    <row r="37" spans="1:16" x14ac:dyDescent="0.3">
      <c r="A37" s="74"/>
      <c r="B37" s="74"/>
      <c r="C37" s="74"/>
      <c r="D37" s="74"/>
      <c r="E37" s="74"/>
      <c r="F37" s="74"/>
      <c r="G37" s="74"/>
      <c r="H37" s="74"/>
      <c r="I37" s="75"/>
      <c r="J37" s="75"/>
      <c r="K37" s="75"/>
      <c r="L37" s="75"/>
      <c r="M37" s="75"/>
      <c r="N37" s="75"/>
      <c r="O37" s="75"/>
      <c r="P37" s="75"/>
    </row>
    <row r="38" spans="1:16" x14ac:dyDescent="0.3">
      <c r="A38" s="74"/>
      <c r="B38" s="74"/>
      <c r="C38" s="74"/>
      <c r="D38" s="74"/>
      <c r="E38" s="74"/>
      <c r="F38" s="74"/>
      <c r="G38" s="74"/>
      <c r="H38" s="74"/>
      <c r="I38" s="75"/>
      <c r="J38" s="75"/>
      <c r="K38" s="75"/>
      <c r="L38" s="75"/>
      <c r="M38" s="75"/>
      <c r="N38" s="75"/>
      <c r="O38" s="75"/>
      <c r="P38" s="75"/>
    </row>
    <row r="39" spans="1:16" x14ac:dyDescent="0.3">
      <c r="A39" s="74"/>
      <c r="B39" s="74"/>
      <c r="C39" s="74"/>
      <c r="D39" s="74"/>
      <c r="E39" s="74"/>
      <c r="F39" s="74"/>
      <c r="G39" s="74"/>
      <c r="H39" s="74"/>
      <c r="I39" s="75"/>
      <c r="J39" s="75"/>
      <c r="K39" s="75"/>
      <c r="L39" s="75"/>
      <c r="M39" s="75"/>
      <c r="N39" s="75"/>
      <c r="O39" s="75"/>
      <c r="P39" s="75"/>
    </row>
    <row r="40" spans="1:16" x14ac:dyDescent="0.3">
      <c r="A40" s="74"/>
      <c r="B40" s="74"/>
      <c r="C40" s="74"/>
      <c r="D40" s="74"/>
      <c r="E40" s="74"/>
      <c r="F40" s="74"/>
      <c r="G40" s="74"/>
      <c r="H40" s="74"/>
      <c r="I40" s="75"/>
      <c r="J40" s="75"/>
      <c r="K40" s="75"/>
      <c r="L40" s="75"/>
      <c r="M40" s="75"/>
      <c r="N40" s="75"/>
      <c r="O40" s="75"/>
      <c r="P40" s="75"/>
    </row>
    <row r="41" spans="1:16" x14ac:dyDescent="0.3">
      <c r="A41" s="74"/>
      <c r="B41" s="74"/>
      <c r="C41" s="74"/>
      <c r="D41" s="74"/>
      <c r="E41" s="74"/>
      <c r="F41" s="74"/>
      <c r="G41" s="74"/>
      <c r="H41" s="74"/>
      <c r="I41" s="75"/>
      <c r="J41" s="75"/>
      <c r="K41" s="75"/>
      <c r="L41" s="75"/>
      <c r="M41" s="75"/>
      <c r="N41" s="75"/>
      <c r="O41" s="75"/>
      <c r="P41" s="75"/>
    </row>
    <row r="42" spans="1:16" x14ac:dyDescent="0.3">
      <c r="A42" s="74"/>
      <c r="B42" s="74"/>
      <c r="C42" s="74"/>
      <c r="D42" s="74"/>
      <c r="E42" s="74"/>
      <c r="F42" s="74"/>
      <c r="G42" s="74"/>
      <c r="H42" s="74"/>
      <c r="I42" s="75"/>
      <c r="J42" s="75"/>
      <c r="K42" s="75"/>
      <c r="L42" s="75"/>
      <c r="M42" s="75"/>
      <c r="N42" s="75"/>
      <c r="O42" s="75"/>
      <c r="P42" s="75"/>
    </row>
    <row r="43" spans="1:16" x14ac:dyDescent="0.3">
      <c r="A43" s="74"/>
      <c r="B43" s="74"/>
      <c r="C43" s="74"/>
      <c r="D43" s="74"/>
      <c r="E43" s="74"/>
      <c r="F43" s="74"/>
      <c r="G43" s="74"/>
      <c r="H43" s="74"/>
      <c r="I43" s="75"/>
      <c r="J43" s="75"/>
      <c r="K43" s="75"/>
      <c r="L43" s="75"/>
      <c r="M43" s="75"/>
      <c r="N43" s="75"/>
      <c r="O43" s="75"/>
      <c r="P43" s="75"/>
    </row>
  </sheetData>
  <mergeCells count="6">
    <mergeCell ref="A1:I5"/>
    <mergeCell ref="J17:L19"/>
    <mergeCell ref="N17:O19"/>
    <mergeCell ref="G19:H21"/>
    <mergeCell ref="J21:L22"/>
    <mergeCell ref="N21:O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Spinner 1">
              <controlPr defaultSize="0" autoPict="0">
                <anchor moveWithCells="1" sizeWithCells="1">
                  <from>
                    <xdr:col>11</xdr:col>
                    <xdr:colOff>30480</xdr:colOff>
                    <xdr:row>1</xdr:row>
                    <xdr:rowOff>0</xdr:rowOff>
                  </from>
                  <to>
                    <xdr:col>11</xdr:col>
                    <xdr:colOff>312420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Spinner 2">
              <controlPr defaultSize="0" autoPict="0">
                <anchor moveWithCells="1" sizeWithCells="1">
                  <from>
                    <xdr:col>14</xdr:col>
                    <xdr:colOff>22860</xdr:colOff>
                    <xdr:row>1</xdr:row>
                    <xdr:rowOff>7620</xdr:rowOff>
                  </from>
                  <to>
                    <xdr:col>14</xdr:col>
                    <xdr:colOff>236220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Spinner 3">
              <controlPr defaultSize="0" autoPict="0">
                <anchor moveWithCells="1" sizeWithCells="1">
                  <from>
                    <xdr:col>11</xdr:col>
                    <xdr:colOff>30480</xdr:colOff>
                    <xdr:row>3</xdr:row>
                    <xdr:rowOff>7620</xdr:rowOff>
                  </from>
                  <to>
                    <xdr:col>11</xdr:col>
                    <xdr:colOff>281940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Spinner 4">
              <controlPr defaultSize="0" autoPict="0">
                <anchor moveWithCells="1" sizeWithCells="1">
                  <from>
                    <xdr:col>14</xdr:col>
                    <xdr:colOff>15240</xdr:colOff>
                    <xdr:row>2</xdr:row>
                    <xdr:rowOff>175260</xdr:rowOff>
                  </from>
                  <to>
                    <xdr:col>14</xdr:col>
                    <xdr:colOff>312420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C3F50-A16A-420D-AA82-7DE2ECFA0328}">
  <sheetPr codeName="Sheet3">
    <tabColor theme="4" tint="0.39997558519241921"/>
  </sheetPr>
  <dimension ref="A1:V46"/>
  <sheetViews>
    <sheetView zoomScale="83" workbookViewId="0">
      <selection activeCell="M9" sqref="M9"/>
    </sheetView>
  </sheetViews>
  <sheetFormatPr defaultRowHeight="14.4" x14ac:dyDescent="0.3"/>
  <cols>
    <col min="1" max="1" width="17.109375" bestFit="1" customWidth="1"/>
    <col min="2" max="2" width="14.5546875" customWidth="1"/>
    <col min="3" max="3" width="18.88671875" bestFit="1" customWidth="1"/>
    <col min="4" max="4" width="21.6640625" customWidth="1"/>
    <col min="5" max="5" width="11.6640625" customWidth="1"/>
    <col min="6" max="6" width="19.6640625" customWidth="1"/>
    <col min="7" max="7" width="17" customWidth="1"/>
    <col min="8" max="8" width="25.33203125" customWidth="1"/>
    <col min="9" max="9" width="9.88671875" bestFit="1" customWidth="1"/>
    <col min="11" max="11" width="12.6640625" bestFit="1" customWidth="1"/>
    <col min="12" max="12" width="16" bestFit="1" customWidth="1"/>
    <col min="13" max="13" width="19.33203125" bestFit="1" customWidth="1"/>
    <col min="14" max="14" width="9.33203125" bestFit="1" customWidth="1"/>
    <col min="15" max="15" width="17.5546875" bestFit="1" customWidth="1"/>
    <col min="16" max="16" width="14.77734375" bestFit="1" customWidth="1"/>
    <col min="21" max="21" width="9.77734375" bestFit="1" customWidth="1"/>
  </cols>
  <sheetData>
    <row r="1" spans="1:22" x14ac:dyDescent="0.3">
      <c r="A1" s="6" t="s">
        <v>18</v>
      </c>
      <c r="B1" s="6" t="s">
        <v>9</v>
      </c>
      <c r="C1" s="6" t="s">
        <v>20</v>
      </c>
      <c r="D1" s="6" t="s">
        <v>10</v>
      </c>
      <c r="E1" s="6" t="s">
        <v>21</v>
      </c>
      <c r="F1" s="6" t="s">
        <v>22</v>
      </c>
      <c r="G1" s="6" t="s">
        <v>23</v>
      </c>
      <c r="H1" s="6" t="s">
        <v>32</v>
      </c>
    </row>
    <row r="2" spans="1:22" x14ac:dyDescent="0.3">
      <c r="A2" s="1" t="s">
        <v>7</v>
      </c>
      <c r="B2" s="7">
        <v>2019</v>
      </c>
      <c r="C2" s="1">
        <v>385</v>
      </c>
      <c r="D2" s="1">
        <v>26</v>
      </c>
      <c r="E2" s="1">
        <v>16455</v>
      </c>
      <c r="F2" s="1">
        <v>7645</v>
      </c>
      <c r="G2" s="4">
        <v>3.9</v>
      </c>
      <c r="H2" s="4" t="s">
        <v>31</v>
      </c>
      <c r="V2">
        <v>2019</v>
      </c>
    </row>
    <row r="3" spans="1:22" x14ac:dyDescent="0.3">
      <c r="A3" s="1" t="s">
        <v>2</v>
      </c>
      <c r="B3" s="7">
        <v>2019</v>
      </c>
      <c r="C3" s="1">
        <v>84</v>
      </c>
      <c r="D3" s="1">
        <v>42</v>
      </c>
      <c r="E3" s="1">
        <v>63012</v>
      </c>
      <c r="F3" s="1">
        <v>14295</v>
      </c>
      <c r="G3" s="5">
        <v>3.5</v>
      </c>
      <c r="H3" s="5" t="s">
        <v>31</v>
      </c>
      <c r="V3">
        <v>2020</v>
      </c>
    </row>
    <row r="4" spans="1:22" x14ac:dyDescent="0.3">
      <c r="A4" s="1" t="s">
        <v>1</v>
      </c>
      <c r="B4" s="7">
        <v>2019</v>
      </c>
      <c r="C4" s="1">
        <v>55</v>
      </c>
      <c r="D4" s="1">
        <v>18</v>
      </c>
      <c r="E4" s="1">
        <v>18149</v>
      </c>
      <c r="F4" s="1">
        <v>7037</v>
      </c>
      <c r="G4" s="4">
        <v>3.6</v>
      </c>
      <c r="H4" s="4" t="s">
        <v>31</v>
      </c>
      <c r="V4">
        <v>2021</v>
      </c>
    </row>
    <row r="5" spans="1:22" x14ac:dyDescent="0.3">
      <c r="A5" s="1" t="s">
        <v>6</v>
      </c>
      <c r="B5" s="7">
        <v>2019</v>
      </c>
      <c r="C5" s="1">
        <v>836</v>
      </c>
      <c r="D5" s="1">
        <v>19</v>
      </c>
      <c r="E5" s="1">
        <v>24996</v>
      </c>
      <c r="F5" s="1">
        <v>20349</v>
      </c>
      <c r="G5" s="5">
        <v>4</v>
      </c>
      <c r="H5" s="5" t="s">
        <v>31</v>
      </c>
      <c r="V5">
        <v>2022</v>
      </c>
    </row>
    <row r="6" spans="1:22" x14ac:dyDescent="0.3">
      <c r="A6" s="1" t="s">
        <v>19</v>
      </c>
      <c r="B6" s="7">
        <v>2019</v>
      </c>
      <c r="C6" s="1">
        <v>778</v>
      </c>
      <c r="D6" s="1">
        <v>22</v>
      </c>
      <c r="E6" s="1">
        <v>52558</v>
      </c>
      <c r="F6" s="1">
        <v>21504</v>
      </c>
      <c r="G6" s="4">
        <v>4.2</v>
      </c>
      <c r="H6" s="4" t="s">
        <v>31</v>
      </c>
      <c r="V6">
        <v>2023</v>
      </c>
    </row>
    <row r="7" spans="1:22" x14ac:dyDescent="0.3">
      <c r="A7" s="1" t="s">
        <v>4</v>
      </c>
      <c r="B7" s="7">
        <v>2019</v>
      </c>
      <c r="C7" s="1">
        <v>389</v>
      </c>
      <c r="D7" s="1">
        <v>36</v>
      </c>
      <c r="E7" s="1">
        <v>94907</v>
      </c>
      <c r="F7" s="1">
        <v>11887</v>
      </c>
      <c r="G7" s="5">
        <v>4</v>
      </c>
      <c r="H7" s="5" t="s">
        <v>31</v>
      </c>
    </row>
    <row r="8" spans="1:22" x14ac:dyDescent="0.3">
      <c r="A8" s="1" t="s">
        <v>8</v>
      </c>
      <c r="B8" s="7">
        <v>2019</v>
      </c>
      <c r="C8" s="1">
        <v>386</v>
      </c>
      <c r="D8" s="1">
        <v>27</v>
      </c>
      <c r="E8" s="1">
        <v>82005</v>
      </c>
      <c r="F8" s="1">
        <v>16899</v>
      </c>
      <c r="G8" s="4">
        <v>4.3</v>
      </c>
      <c r="H8" s="4" t="s">
        <v>31</v>
      </c>
    </row>
    <row r="9" spans="1:22" x14ac:dyDescent="0.3">
      <c r="A9" s="1" t="s">
        <v>3</v>
      </c>
      <c r="B9" s="7">
        <v>2019</v>
      </c>
      <c r="C9" s="1">
        <v>652</v>
      </c>
      <c r="D9" s="1">
        <v>14</v>
      </c>
      <c r="E9" s="1">
        <v>92781</v>
      </c>
      <c r="F9" s="1">
        <v>16708</v>
      </c>
      <c r="G9" s="5">
        <v>4</v>
      </c>
      <c r="H9" s="5" t="s">
        <v>31</v>
      </c>
    </row>
    <row r="10" spans="1:22" x14ac:dyDescent="0.3">
      <c r="A10" s="1" t="s">
        <v>5</v>
      </c>
      <c r="B10" s="7">
        <v>2019</v>
      </c>
      <c r="C10" s="1">
        <v>718</v>
      </c>
      <c r="D10" s="1">
        <v>31</v>
      </c>
      <c r="E10" s="1">
        <v>78443</v>
      </c>
      <c r="F10" s="1">
        <v>18686</v>
      </c>
      <c r="G10" s="4">
        <v>3.6</v>
      </c>
      <c r="H10" s="4" t="s">
        <v>31</v>
      </c>
    </row>
    <row r="11" spans="1:22" x14ac:dyDescent="0.3">
      <c r="A11" s="1" t="s">
        <v>7</v>
      </c>
      <c r="B11" s="7">
        <v>2020</v>
      </c>
      <c r="C11" s="1">
        <v>270</v>
      </c>
      <c r="D11" s="1">
        <v>35</v>
      </c>
      <c r="E11" s="1">
        <v>19494</v>
      </c>
      <c r="F11" s="1">
        <v>12190</v>
      </c>
      <c r="G11" s="5">
        <v>3.8</v>
      </c>
      <c r="H11" s="12">
        <v>0.37284659557013944</v>
      </c>
    </row>
    <row r="12" spans="1:22" x14ac:dyDescent="0.3">
      <c r="A12" s="1" t="s">
        <v>2</v>
      </c>
      <c r="B12" s="7">
        <v>2020</v>
      </c>
      <c r="C12" s="1">
        <v>258</v>
      </c>
      <c r="D12" s="1">
        <v>30</v>
      </c>
      <c r="E12" s="1">
        <v>44512</v>
      </c>
      <c r="F12" s="1">
        <v>11943</v>
      </c>
      <c r="G12" s="4">
        <v>3.9</v>
      </c>
      <c r="H12" s="12">
        <v>-0.19693544335594071</v>
      </c>
    </row>
    <row r="13" spans="1:22" x14ac:dyDescent="0.3">
      <c r="A13" s="1" t="s">
        <v>1</v>
      </c>
      <c r="B13" s="7">
        <v>2020</v>
      </c>
      <c r="C13" s="1">
        <v>672</v>
      </c>
      <c r="D13" s="1">
        <v>42</v>
      </c>
      <c r="E13" s="1">
        <v>99094</v>
      </c>
      <c r="F13" s="1">
        <v>10866</v>
      </c>
      <c r="G13" s="5">
        <v>4.0999999999999996</v>
      </c>
      <c r="H13" s="12">
        <v>0.35238358181483526</v>
      </c>
    </row>
    <row r="14" spans="1:22" x14ac:dyDescent="0.3">
      <c r="A14" s="1" t="s">
        <v>6</v>
      </c>
      <c r="B14" s="7">
        <v>2020</v>
      </c>
      <c r="C14" s="1">
        <v>950</v>
      </c>
      <c r="D14" s="1">
        <v>20</v>
      </c>
      <c r="E14" s="1">
        <v>10697</v>
      </c>
      <c r="F14" s="1">
        <v>13451</v>
      </c>
      <c r="G14" s="4">
        <v>3.4</v>
      </c>
      <c r="H14" s="12">
        <v>-0.51282432532897182</v>
      </c>
    </row>
    <row r="15" spans="1:22" x14ac:dyDescent="0.3">
      <c r="A15" s="1" t="s">
        <v>19</v>
      </c>
      <c r="B15" s="7">
        <v>2020</v>
      </c>
      <c r="C15" s="1">
        <v>754</v>
      </c>
      <c r="D15" s="1">
        <v>30</v>
      </c>
      <c r="E15" s="1">
        <v>13735</v>
      </c>
      <c r="F15" s="1">
        <v>10919</v>
      </c>
      <c r="G15" s="5">
        <v>4.9000000000000004</v>
      </c>
      <c r="H15" s="12">
        <v>-0.96941111823427051</v>
      </c>
    </row>
    <row r="16" spans="1:22" x14ac:dyDescent="0.3">
      <c r="A16" s="1" t="s">
        <v>4</v>
      </c>
      <c r="B16" s="7">
        <v>2020</v>
      </c>
      <c r="C16" s="1">
        <v>957</v>
      </c>
      <c r="D16" s="1">
        <v>10</v>
      </c>
      <c r="E16" s="1">
        <v>25549</v>
      </c>
      <c r="F16" s="1">
        <v>2761</v>
      </c>
      <c r="G16" s="4">
        <v>3.8</v>
      </c>
      <c r="H16" s="12">
        <v>-3.3053241579137995</v>
      </c>
    </row>
    <row r="17" spans="1:8" x14ac:dyDescent="0.3">
      <c r="A17" s="1" t="s">
        <v>8</v>
      </c>
      <c r="B17" s="7">
        <v>2020</v>
      </c>
      <c r="C17" s="1">
        <v>159</v>
      </c>
      <c r="D17" s="1">
        <v>10</v>
      </c>
      <c r="E17" s="1">
        <v>10691</v>
      </c>
      <c r="F17" s="1">
        <v>5949</v>
      </c>
      <c r="G17" s="5">
        <v>3.9</v>
      </c>
      <c r="H17" s="12">
        <v>-1.8406454866364095</v>
      </c>
    </row>
    <row r="18" spans="1:8" x14ac:dyDescent="0.3">
      <c r="A18" s="1" t="s">
        <v>3</v>
      </c>
      <c r="B18" s="7">
        <v>2020</v>
      </c>
      <c r="C18" s="1">
        <v>471</v>
      </c>
      <c r="D18" s="1">
        <v>43</v>
      </c>
      <c r="E18" s="1">
        <v>14511</v>
      </c>
      <c r="F18" s="1">
        <v>6173</v>
      </c>
      <c r="G18" s="4">
        <v>3.7</v>
      </c>
      <c r="H18" s="12">
        <v>-1.7066256277336789</v>
      </c>
    </row>
    <row r="19" spans="1:8" x14ac:dyDescent="0.3">
      <c r="A19" s="1" t="s">
        <v>5</v>
      </c>
      <c r="B19" s="7">
        <v>2020</v>
      </c>
      <c r="C19" s="1">
        <v>429</v>
      </c>
      <c r="D19" s="1">
        <v>19</v>
      </c>
      <c r="E19" s="1">
        <v>88205</v>
      </c>
      <c r="F19" s="1">
        <v>12971</v>
      </c>
      <c r="G19" s="5">
        <v>4.4000000000000004</v>
      </c>
      <c r="H19" s="12">
        <v>-0.44059825765168453</v>
      </c>
    </row>
    <row r="20" spans="1:8" x14ac:dyDescent="0.3">
      <c r="A20" s="1" t="s">
        <v>7</v>
      </c>
      <c r="B20" s="7">
        <v>2021</v>
      </c>
      <c r="C20" s="1">
        <v>434</v>
      </c>
      <c r="D20" s="1">
        <v>41</v>
      </c>
      <c r="E20" s="1">
        <v>72833</v>
      </c>
      <c r="F20" s="1">
        <v>24916</v>
      </c>
      <c r="G20" s="4">
        <v>4.2</v>
      </c>
      <c r="H20" s="12">
        <v>0.51075614063252528</v>
      </c>
    </row>
    <row r="21" spans="1:8" x14ac:dyDescent="0.3">
      <c r="A21" s="1" t="s">
        <v>2</v>
      </c>
      <c r="B21" s="7">
        <v>2021</v>
      </c>
      <c r="C21" s="1">
        <v>384</v>
      </c>
      <c r="D21" s="1">
        <v>34</v>
      </c>
      <c r="E21" s="1">
        <v>37894</v>
      </c>
      <c r="F21" s="1">
        <v>13544</v>
      </c>
      <c r="G21" s="5">
        <v>4.0999999999999996</v>
      </c>
      <c r="H21" s="12">
        <v>0.11820732427643237</v>
      </c>
    </row>
    <row r="22" spans="1:8" x14ac:dyDescent="0.3">
      <c r="A22" s="1" t="s">
        <v>1</v>
      </c>
      <c r="B22" s="7">
        <v>2021</v>
      </c>
      <c r="C22" s="1">
        <v>415</v>
      </c>
      <c r="D22" s="1">
        <v>24</v>
      </c>
      <c r="E22" s="1">
        <v>21038</v>
      </c>
      <c r="F22" s="1">
        <v>8710</v>
      </c>
      <c r="G22" s="4">
        <v>4.2</v>
      </c>
      <c r="H22" s="12">
        <v>-0.24753157290470723</v>
      </c>
    </row>
    <row r="23" spans="1:8" x14ac:dyDescent="0.3">
      <c r="A23" s="1" t="s">
        <v>6</v>
      </c>
      <c r="B23" s="7">
        <v>2021</v>
      </c>
      <c r="C23" s="1">
        <v>461</v>
      </c>
      <c r="D23" s="1">
        <v>36</v>
      </c>
      <c r="E23" s="1">
        <v>35540</v>
      </c>
      <c r="F23" s="1">
        <v>12732</v>
      </c>
      <c r="G23" s="5">
        <v>3.7</v>
      </c>
      <c r="H23" s="12">
        <v>-5.647188187244738E-2</v>
      </c>
    </row>
    <row r="24" spans="1:8" x14ac:dyDescent="0.3">
      <c r="A24" s="1" t="s">
        <v>19</v>
      </c>
      <c r="B24" s="7">
        <v>2021</v>
      </c>
      <c r="C24" s="1">
        <v>384</v>
      </c>
      <c r="D24" s="1">
        <v>29</v>
      </c>
      <c r="E24" s="1">
        <v>70445</v>
      </c>
      <c r="F24" s="1">
        <v>24539</v>
      </c>
      <c r="G24" s="4">
        <v>4.5</v>
      </c>
      <c r="H24" s="12">
        <v>0.55503484249561919</v>
      </c>
    </row>
    <row r="25" spans="1:8" x14ac:dyDescent="0.3">
      <c r="A25" s="1" t="s">
        <v>4</v>
      </c>
      <c r="B25" s="7">
        <v>2021</v>
      </c>
      <c r="C25" s="1">
        <v>931</v>
      </c>
      <c r="D25" s="1">
        <v>10</v>
      </c>
      <c r="E25" s="1">
        <v>20298</v>
      </c>
      <c r="F25" s="1">
        <v>20214</v>
      </c>
      <c r="G25" s="5">
        <v>4.0999999999999996</v>
      </c>
      <c r="H25" s="12">
        <v>0.86341149698228947</v>
      </c>
    </row>
    <row r="26" spans="1:8" x14ac:dyDescent="0.3">
      <c r="A26" s="1" t="s">
        <v>8</v>
      </c>
      <c r="B26" s="7">
        <v>2021</v>
      </c>
      <c r="C26" s="1">
        <v>664</v>
      </c>
      <c r="D26" s="1">
        <v>18</v>
      </c>
      <c r="E26" s="1">
        <v>90569</v>
      </c>
      <c r="F26" s="1">
        <v>25700</v>
      </c>
      <c r="G26" s="4">
        <v>4.3</v>
      </c>
      <c r="H26" s="12">
        <v>0.76852140077821007</v>
      </c>
    </row>
    <row r="27" spans="1:8" x14ac:dyDescent="0.3">
      <c r="A27" s="1" t="s">
        <v>3</v>
      </c>
      <c r="B27" s="7">
        <v>2021</v>
      </c>
      <c r="C27" s="1">
        <v>131</v>
      </c>
      <c r="D27" s="1">
        <v>29</v>
      </c>
      <c r="E27" s="1">
        <v>67687</v>
      </c>
      <c r="F27" s="1">
        <v>26798</v>
      </c>
      <c r="G27" s="5">
        <v>4.4000000000000004</v>
      </c>
      <c r="H27" s="12">
        <v>0.76964698858123737</v>
      </c>
    </row>
    <row r="28" spans="1:8" x14ac:dyDescent="0.3">
      <c r="A28" s="1" t="s">
        <v>5</v>
      </c>
      <c r="B28" s="7">
        <v>2021</v>
      </c>
      <c r="C28" s="1">
        <v>200</v>
      </c>
      <c r="D28" s="1">
        <v>25</v>
      </c>
      <c r="E28" s="1">
        <v>27821</v>
      </c>
      <c r="F28" s="1">
        <v>12197</v>
      </c>
      <c r="G28" s="4">
        <v>4.4000000000000004</v>
      </c>
      <c r="H28" s="12">
        <v>-6.3458227432975328E-2</v>
      </c>
    </row>
    <row r="29" spans="1:8" x14ac:dyDescent="0.3">
      <c r="A29" s="1" t="s">
        <v>7</v>
      </c>
      <c r="B29" s="1">
        <v>2022</v>
      </c>
      <c r="C29" s="1">
        <v>262</v>
      </c>
      <c r="D29" s="1">
        <v>31</v>
      </c>
      <c r="E29" s="1">
        <v>36974</v>
      </c>
      <c r="F29" s="1">
        <v>25420</v>
      </c>
      <c r="G29" s="5">
        <v>3.8</v>
      </c>
      <c r="H29" s="12">
        <v>1.9826907946498822E-2</v>
      </c>
    </row>
    <row r="30" spans="1:8" x14ac:dyDescent="0.3">
      <c r="A30" s="1" t="s">
        <v>2</v>
      </c>
      <c r="B30" s="1">
        <v>2022</v>
      </c>
      <c r="C30" s="1">
        <v>902</v>
      </c>
      <c r="D30" s="1">
        <v>37</v>
      </c>
      <c r="E30" s="1">
        <v>75321</v>
      </c>
      <c r="F30" s="1">
        <v>22571</v>
      </c>
      <c r="G30" s="4">
        <v>3.6</v>
      </c>
      <c r="H30" s="12">
        <v>0.39993797350582605</v>
      </c>
    </row>
    <row r="31" spans="1:8" x14ac:dyDescent="0.3">
      <c r="A31" s="1" t="s">
        <v>1</v>
      </c>
      <c r="B31" s="1">
        <v>2022</v>
      </c>
      <c r="C31" s="1">
        <v>323</v>
      </c>
      <c r="D31" s="1">
        <v>19</v>
      </c>
      <c r="E31" s="1">
        <v>94670</v>
      </c>
      <c r="F31" s="1">
        <v>27923</v>
      </c>
      <c r="G31" s="5">
        <v>4.5999999999999996</v>
      </c>
      <c r="H31" s="12">
        <v>0.68807076603516815</v>
      </c>
    </row>
    <row r="32" spans="1:8" x14ac:dyDescent="0.3">
      <c r="A32" s="1" t="s">
        <v>6</v>
      </c>
      <c r="B32" s="1">
        <v>2022</v>
      </c>
      <c r="C32" s="1">
        <v>66</v>
      </c>
      <c r="D32" s="1">
        <v>37</v>
      </c>
      <c r="E32" s="1">
        <v>87998</v>
      </c>
      <c r="F32" s="1">
        <v>15977</v>
      </c>
      <c r="G32" s="4">
        <v>4.4000000000000004</v>
      </c>
      <c r="H32" s="12">
        <v>0.20310446266508106</v>
      </c>
    </row>
    <row r="33" spans="1:8" x14ac:dyDescent="0.3">
      <c r="A33" s="1" t="s">
        <v>19</v>
      </c>
      <c r="B33" s="1">
        <v>2022</v>
      </c>
      <c r="C33" s="1">
        <v>184</v>
      </c>
      <c r="D33" s="1">
        <v>10</v>
      </c>
      <c r="E33" s="1">
        <v>55497</v>
      </c>
      <c r="F33" s="1">
        <v>23566</v>
      </c>
      <c r="G33" s="5">
        <v>4.3</v>
      </c>
      <c r="H33" s="12">
        <v>-4.1288296698633625E-2</v>
      </c>
    </row>
    <row r="34" spans="1:8" x14ac:dyDescent="0.3">
      <c r="A34" s="1" t="s">
        <v>4</v>
      </c>
      <c r="B34" s="1">
        <v>2022</v>
      </c>
      <c r="C34" s="1">
        <v>565</v>
      </c>
      <c r="D34" s="1">
        <v>30</v>
      </c>
      <c r="E34" s="1">
        <v>53543</v>
      </c>
      <c r="F34" s="1">
        <v>13340</v>
      </c>
      <c r="G34" s="4">
        <v>3.8</v>
      </c>
      <c r="H34" s="12">
        <v>-0.51529235382308847</v>
      </c>
    </row>
    <row r="35" spans="1:8" x14ac:dyDescent="0.3">
      <c r="A35" s="1" t="s">
        <v>8</v>
      </c>
      <c r="B35" s="1">
        <v>2022</v>
      </c>
      <c r="C35" s="1">
        <v>787</v>
      </c>
      <c r="D35" s="1">
        <v>44</v>
      </c>
      <c r="E35" s="1">
        <v>14895</v>
      </c>
      <c r="F35" s="1">
        <v>22371</v>
      </c>
      <c r="G35" s="5">
        <v>4.3</v>
      </c>
      <c r="H35" s="12">
        <v>-0.14880872558222699</v>
      </c>
    </row>
    <row r="36" spans="1:8" x14ac:dyDescent="0.3">
      <c r="A36" s="1" t="s">
        <v>3</v>
      </c>
      <c r="B36" s="1">
        <v>2022</v>
      </c>
      <c r="C36" s="1">
        <v>844</v>
      </c>
      <c r="D36" s="1">
        <v>16</v>
      </c>
      <c r="E36" s="1">
        <v>13713</v>
      </c>
      <c r="F36" s="1">
        <v>11850</v>
      </c>
      <c r="G36" s="4">
        <v>4</v>
      </c>
      <c r="H36" s="12">
        <v>-1.2614345991561182</v>
      </c>
    </row>
    <row r="37" spans="1:8" x14ac:dyDescent="0.3">
      <c r="A37" s="1" t="s">
        <v>5</v>
      </c>
      <c r="B37" s="1">
        <v>2022</v>
      </c>
      <c r="C37" s="1">
        <v>951</v>
      </c>
      <c r="D37" s="1">
        <v>32</v>
      </c>
      <c r="E37" s="1">
        <v>77779</v>
      </c>
      <c r="F37" s="1">
        <v>23549</v>
      </c>
      <c r="G37" s="5">
        <v>4.4000000000000004</v>
      </c>
      <c r="H37" s="12">
        <v>0.48205868614378528</v>
      </c>
    </row>
    <row r="38" spans="1:8" x14ac:dyDescent="0.3">
      <c r="A38" s="1" t="s">
        <v>7</v>
      </c>
      <c r="B38" s="1">
        <v>2023</v>
      </c>
      <c r="C38" s="1">
        <v>480</v>
      </c>
      <c r="D38" s="1">
        <v>15</v>
      </c>
      <c r="E38" s="1">
        <v>65359</v>
      </c>
      <c r="F38" s="1">
        <v>12895</v>
      </c>
      <c r="G38" s="4">
        <v>4.5</v>
      </c>
      <c r="H38" s="12">
        <v>-0.97130670802636676</v>
      </c>
    </row>
    <row r="39" spans="1:8" x14ac:dyDescent="0.3">
      <c r="A39" s="1" t="s">
        <v>2</v>
      </c>
      <c r="B39" s="1">
        <v>2023</v>
      </c>
      <c r="C39" s="1">
        <v>626</v>
      </c>
      <c r="D39" s="1">
        <v>19</v>
      </c>
      <c r="E39" s="1">
        <v>57028</v>
      </c>
      <c r="F39" s="1">
        <v>14437</v>
      </c>
      <c r="G39" s="5">
        <v>4.0999999999999996</v>
      </c>
      <c r="H39" s="12">
        <v>-0.56341345154810551</v>
      </c>
    </row>
    <row r="40" spans="1:8" x14ac:dyDescent="0.3">
      <c r="A40" s="1" t="s">
        <v>1</v>
      </c>
      <c r="B40" s="1">
        <v>2023</v>
      </c>
      <c r="C40" s="1">
        <v>202</v>
      </c>
      <c r="D40" s="1">
        <v>12</v>
      </c>
      <c r="E40" s="1">
        <v>98477</v>
      </c>
      <c r="F40" s="1">
        <v>27193</v>
      </c>
      <c r="G40" s="4">
        <v>4.0999999999999996</v>
      </c>
      <c r="H40" s="12">
        <v>-2.6845143970874858E-2</v>
      </c>
    </row>
    <row r="41" spans="1:8" x14ac:dyDescent="0.3">
      <c r="A41" s="1" t="s">
        <v>6</v>
      </c>
      <c r="B41" s="1">
        <v>2023</v>
      </c>
      <c r="C41" s="1">
        <v>220</v>
      </c>
      <c r="D41" s="1">
        <v>21</v>
      </c>
      <c r="E41" s="1">
        <v>37135</v>
      </c>
      <c r="F41" s="1">
        <v>17124</v>
      </c>
      <c r="G41" s="5">
        <v>3.9</v>
      </c>
      <c r="H41" s="12">
        <v>6.6982013548236394E-2</v>
      </c>
    </row>
    <row r="42" spans="1:8" x14ac:dyDescent="0.3">
      <c r="A42" s="1" t="s">
        <v>19</v>
      </c>
      <c r="B42" s="1">
        <v>2023</v>
      </c>
      <c r="C42" s="1">
        <v>965</v>
      </c>
      <c r="D42" s="1">
        <v>32</v>
      </c>
      <c r="E42" s="1">
        <v>22772</v>
      </c>
      <c r="F42" s="1">
        <v>31624</v>
      </c>
      <c r="G42" s="4">
        <v>4</v>
      </c>
      <c r="H42" s="12">
        <v>0.25480647609410573</v>
      </c>
    </row>
    <row r="43" spans="1:8" x14ac:dyDescent="0.3">
      <c r="A43" s="1" t="s">
        <v>4</v>
      </c>
      <c r="B43" s="1">
        <v>2023</v>
      </c>
      <c r="C43" s="1">
        <v>191</v>
      </c>
      <c r="D43" s="1">
        <v>31</v>
      </c>
      <c r="E43" s="1">
        <v>70525</v>
      </c>
      <c r="F43" s="1">
        <v>30795</v>
      </c>
      <c r="G43" s="5">
        <v>3.4</v>
      </c>
      <c r="H43" s="12">
        <v>0.56681279428478648</v>
      </c>
    </row>
    <row r="44" spans="1:8" x14ac:dyDescent="0.3">
      <c r="A44" s="1" t="s">
        <v>8</v>
      </c>
      <c r="B44" s="1">
        <v>2023</v>
      </c>
      <c r="C44" s="1">
        <v>930</v>
      </c>
      <c r="D44" s="1">
        <v>41</v>
      </c>
      <c r="E44" s="1">
        <v>49766</v>
      </c>
      <c r="F44" s="1">
        <v>15940</v>
      </c>
      <c r="G44" s="4">
        <v>3.3</v>
      </c>
      <c r="H44" s="12">
        <v>-0.40345043914680051</v>
      </c>
    </row>
    <row r="45" spans="1:8" x14ac:dyDescent="0.3">
      <c r="A45" s="1" t="s">
        <v>3</v>
      </c>
      <c r="B45" s="1">
        <v>2023</v>
      </c>
      <c r="C45" s="1">
        <v>882</v>
      </c>
      <c r="D45" s="1">
        <v>24</v>
      </c>
      <c r="E45" s="1">
        <v>93894</v>
      </c>
      <c r="F45" s="1">
        <v>24827</v>
      </c>
      <c r="G45" s="5">
        <v>3.2</v>
      </c>
      <c r="H45" s="12">
        <v>0.52269706368067026</v>
      </c>
    </row>
    <row r="46" spans="1:8" x14ac:dyDescent="0.3">
      <c r="A46" s="1" t="s">
        <v>5</v>
      </c>
      <c r="B46" s="1">
        <v>2023</v>
      </c>
      <c r="C46" s="1">
        <v>399</v>
      </c>
      <c r="D46" s="1">
        <v>14</v>
      </c>
      <c r="E46" s="1">
        <v>53707</v>
      </c>
      <c r="F46" s="1">
        <v>20493</v>
      </c>
      <c r="G46" s="4">
        <v>3.4</v>
      </c>
      <c r="H46" s="12">
        <v>-0.14912409115307665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F19EC-1358-4AD5-A0EB-62B6AB7F598D}">
  <sheetPr codeName="Sheet4">
    <tabColor theme="4" tint="0.39997558519241921"/>
  </sheetPr>
  <dimension ref="A1:M46"/>
  <sheetViews>
    <sheetView workbookViewId="0">
      <selection activeCell="A2" sqref="A2"/>
    </sheetView>
  </sheetViews>
  <sheetFormatPr defaultRowHeight="14.4" x14ac:dyDescent="0.3"/>
  <cols>
    <col min="1" max="1" width="14.5546875" customWidth="1"/>
    <col min="2" max="2" width="17.77734375" customWidth="1"/>
    <col min="3" max="3" width="21" customWidth="1"/>
    <col min="4" max="4" width="11.21875" customWidth="1"/>
    <col min="5" max="5" width="19.21875" customWidth="1"/>
    <col min="6" max="6" width="16.5546875" customWidth="1"/>
    <col min="7" max="7" width="15" customWidth="1"/>
  </cols>
  <sheetData>
    <row r="1" spans="1:13" x14ac:dyDescent="0.3">
      <c r="A1" s="26" t="s">
        <v>11</v>
      </c>
      <c r="B1" s="26" t="s">
        <v>12</v>
      </c>
      <c r="C1" s="26" t="s">
        <v>13</v>
      </c>
      <c r="D1" s="26" t="s">
        <v>14</v>
      </c>
      <c r="E1" s="26" t="s">
        <v>15</v>
      </c>
      <c r="F1" s="26" t="s">
        <v>16</v>
      </c>
    </row>
    <row r="2" spans="1:13" x14ac:dyDescent="0.3">
      <c r="A2" s="27">
        <f>SUMIFS('Raw Data 1'!$C:$C,'Raw Data 1'!$A:$A,Operations!$K$3,'Raw Data 1'!$B:$B,Operations!$N$3)</f>
        <v>787</v>
      </c>
      <c r="B2" s="28">
        <v>1000</v>
      </c>
      <c r="C2" s="29">
        <v>0.1</v>
      </c>
      <c r="D2" s="28">
        <f>A2/B2*180</f>
        <v>141.66</v>
      </c>
      <c r="E2" s="28">
        <v>0</v>
      </c>
      <c r="F2" s="28">
        <v>0</v>
      </c>
    </row>
    <row r="3" spans="1:13" x14ac:dyDescent="0.3">
      <c r="A3" s="28"/>
      <c r="B3" s="28"/>
      <c r="C3" s="29">
        <v>0.1</v>
      </c>
      <c r="D3" s="28"/>
      <c r="E3" s="28">
        <f>-COS(RADIANS(D2))</f>
        <v>0.78434349193340991</v>
      </c>
      <c r="F3" s="28">
        <f>SIN(RADIANS(D2))</f>
        <v>0.62032675797655623</v>
      </c>
    </row>
    <row r="4" spans="1:13" x14ac:dyDescent="0.3">
      <c r="A4" s="28"/>
      <c r="B4" s="28"/>
      <c r="C4" s="29">
        <v>0.1</v>
      </c>
      <c r="D4" s="28"/>
      <c r="E4" s="28"/>
      <c r="F4" s="28"/>
    </row>
    <row r="5" spans="1:13" x14ac:dyDescent="0.3">
      <c r="C5" s="29">
        <v>0.1</v>
      </c>
    </row>
    <row r="6" spans="1:13" x14ac:dyDescent="0.3">
      <c r="C6" s="29">
        <v>0.1</v>
      </c>
    </row>
    <row r="7" spans="1:13" x14ac:dyDescent="0.3">
      <c r="C7" s="29">
        <v>0.5</v>
      </c>
    </row>
    <row r="9" spans="1:13" x14ac:dyDescent="0.3">
      <c r="A9" s="6" t="s">
        <v>9</v>
      </c>
      <c r="B9" s="6" t="s">
        <v>20</v>
      </c>
      <c r="C9" s="6" t="s">
        <v>10</v>
      </c>
      <c r="D9" s="6" t="s">
        <v>21</v>
      </c>
      <c r="E9" s="6" t="s">
        <v>22</v>
      </c>
      <c r="F9" s="6" t="s">
        <v>23</v>
      </c>
      <c r="G9" s="6" t="s">
        <v>33</v>
      </c>
      <c r="I9" s="6" t="s">
        <v>25</v>
      </c>
      <c r="J9" s="1" t="s">
        <v>34</v>
      </c>
      <c r="K9">
        <v>2021</v>
      </c>
      <c r="L9">
        <v>2022</v>
      </c>
      <c r="M9">
        <v>2023</v>
      </c>
    </row>
    <row r="10" spans="1:13" x14ac:dyDescent="0.3">
      <c r="A10" s="1">
        <v>2019</v>
      </c>
      <c r="B10" s="1">
        <f>SUMIFS('Raw Data 1'!$C:$C,'Raw Data 1'!$A:$A,Operations!$K$3,'Raw Data 1'!$B:$B,$A10)</f>
        <v>386</v>
      </c>
      <c r="C10" s="1">
        <f>SUMIFS('Raw Data 1'!$D:$D,'Raw Data 1'!$A:$A,Operations!$K$3,'Raw Data 1'!$B:$B,$A10)</f>
        <v>27</v>
      </c>
      <c r="D10" s="1">
        <f>SUMIFS('Raw Data 1'!$E:$E,'Raw Data 1'!$A:$A,Operations!$K$3,'Raw Data 1'!$B:$B,$A10)</f>
        <v>82005</v>
      </c>
      <c r="E10" s="1">
        <f>SUMIFS('Raw Data 1'!$F:$F,'Raw Data 1'!$A:$A,Operations!$K$3,'Raw Data 1'!$B:$B,$A10)</f>
        <v>16899</v>
      </c>
      <c r="F10" s="1">
        <f>SUMIFS('Raw Data 1'!$G:$G,'Raw Data 1'!$A:$A,Operations!$K$3,'Raw Data 1'!$B:$B,$A10)</f>
        <v>4.3</v>
      </c>
      <c r="G10" s="12">
        <f>SUMIFS('Raw Data 1'!$H:$H,'Raw Data 1'!$A:$A,Operations!$K$3,'Raw Data 1'!$B:$B,$A10)</f>
        <v>0</v>
      </c>
      <c r="I10" s="1" t="s">
        <v>7</v>
      </c>
      <c r="J10" s="12">
        <f>SUMIFS('Raw Data 1'!$H:$H,'Raw Data 1'!$B:$B,Operations!$N$3,'Raw Data 1'!$A:$A,$I10)</f>
        <v>1.9826907946498822E-2</v>
      </c>
      <c r="K10" s="11">
        <f>SUMIFS('Raw Data 1'!$H:$H,'Raw Data 1'!$A:$A,Operations!$K$3,'Raw Data 1'!$B:$B,K$9)</f>
        <v>0.76852140077821007</v>
      </c>
      <c r="L10" s="11">
        <f>SUMIFS('Raw Data 1'!$H:$H,'Raw Data 1'!$A:$A,Operations!$K$3,'Raw Data 1'!$B:$B,L$9)</f>
        <v>-0.14880872558222699</v>
      </c>
      <c r="M10" s="11">
        <f>SUMIFS('Raw Data 1'!$H:$H,'Raw Data 1'!$A:$A,Operations!$K$3,'Raw Data 1'!$B:$B,M$9)</f>
        <v>-0.40345043914680051</v>
      </c>
    </row>
    <row r="11" spans="1:13" x14ac:dyDescent="0.3">
      <c r="A11" s="1">
        <v>2020</v>
      </c>
      <c r="B11" s="1">
        <f>SUMIFS('Raw Data 1'!$C:$C,'Raw Data 1'!$A:$A,Operations!$K$3,'Raw Data 1'!$B:$B,$A11)</f>
        <v>159</v>
      </c>
      <c r="C11" s="1">
        <f>SUMIFS('Raw Data 1'!$D:$D,'Raw Data 1'!$A:$A,Operations!$K$3,'Raw Data 1'!$B:$B,$A11)</f>
        <v>10</v>
      </c>
      <c r="D11" s="1">
        <f>SUMIFS('Raw Data 1'!$E:$E,'Raw Data 1'!$A:$A,Operations!$K$3,'Raw Data 1'!$B:$B,$A11)</f>
        <v>10691</v>
      </c>
      <c r="E11" s="1">
        <f>SUMIFS('Raw Data 1'!$F:$F,'Raw Data 1'!$A:$A,Operations!$K$3,'Raw Data 1'!$B:$B,$A11)</f>
        <v>5949</v>
      </c>
      <c r="F11" s="1">
        <f>SUMIFS('Raw Data 1'!$G:$G,'Raw Data 1'!$A:$A,Operations!$K$3,'Raw Data 1'!$B:$B,$A11)</f>
        <v>3.9</v>
      </c>
      <c r="G11" s="12">
        <f>SUMIFS('Raw Data 1'!$H:$H,'Raw Data 1'!$A:$A,Operations!$K$3,'Raw Data 1'!$B:$B,$A11)</f>
        <v>-1.8406454866364095</v>
      </c>
      <c r="I11" s="1" t="s">
        <v>2</v>
      </c>
      <c r="J11" s="12">
        <f>SUMIFS('Raw Data 1'!$H:$H,'Raw Data 1'!$B:$B,Operations!$N$3,'Raw Data 1'!$A:$A,$I11)</f>
        <v>0.39993797350582605</v>
      </c>
    </row>
    <row r="12" spans="1:13" x14ac:dyDescent="0.3">
      <c r="A12" s="1">
        <v>2021</v>
      </c>
      <c r="B12" s="1">
        <f>SUMIFS('Raw Data 1'!$C:$C,'Raw Data 1'!$A:$A,Operations!$K$3,'Raw Data 1'!$B:$B,$A12)</f>
        <v>664</v>
      </c>
      <c r="C12" s="1">
        <f>SUMIFS('Raw Data 1'!$D:$D,'Raw Data 1'!$A:$A,Operations!$K$3,'Raw Data 1'!$B:$B,$A12)</f>
        <v>18</v>
      </c>
      <c r="D12" s="1">
        <f>SUMIFS('Raw Data 1'!$E:$E,'Raw Data 1'!$A:$A,Operations!$K$3,'Raw Data 1'!$B:$B,$A12)</f>
        <v>90569</v>
      </c>
      <c r="E12" s="1">
        <f>SUMIFS('Raw Data 1'!$F:$F,'Raw Data 1'!$A:$A,Operations!$K$3,'Raw Data 1'!$B:$B,$A12)</f>
        <v>25700</v>
      </c>
      <c r="F12" s="1">
        <f>SUMIFS('Raw Data 1'!$G:$G,'Raw Data 1'!$A:$A,Operations!$K$3,'Raw Data 1'!$B:$B,$A12)</f>
        <v>4.3</v>
      </c>
      <c r="G12" s="12">
        <f>SUMIFS('Raw Data 1'!$H:$H,'Raw Data 1'!$A:$A,Operations!$K$3,'Raw Data 1'!$B:$B,$A12)</f>
        <v>0.76852140077821007</v>
      </c>
      <c r="I12" s="1" t="s">
        <v>1</v>
      </c>
      <c r="J12" s="12">
        <f>SUMIFS('Raw Data 1'!$H:$H,'Raw Data 1'!$B:$B,Operations!$N$3,'Raw Data 1'!$A:$A,$I12)</f>
        <v>0.68807076603516815</v>
      </c>
    </row>
    <row r="13" spans="1:13" x14ac:dyDescent="0.3">
      <c r="A13" s="1">
        <v>2022</v>
      </c>
      <c r="B13" s="1">
        <f>SUMIFS('Raw Data 1'!$C:$C,'Raw Data 1'!$A:$A,Operations!$K$3,'Raw Data 1'!$B:$B,$A13)</f>
        <v>787</v>
      </c>
      <c r="C13" s="1">
        <f>SUMIFS('Raw Data 1'!$D:$D,'Raw Data 1'!$A:$A,Operations!$K$3,'Raw Data 1'!$B:$B,$A13)</f>
        <v>44</v>
      </c>
      <c r="D13" s="1">
        <f>SUMIFS('Raw Data 1'!$E:$E,'Raw Data 1'!$A:$A,Operations!$K$3,'Raw Data 1'!$B:$B,$A13)</f>
        <v>14895</v>
      </c>
      <c r="E13" s="1">
        <f>SUMIFS('Raw Data 1'!$F:$F,'Raw Data 1'!$A:$A,Operations!$K$3,'Raw Data 1'!$B:$B,$A13)</f>
        <v>22371</v>
      </c>
      <c r="F13" s="1">
        <f>SUMIFS('Raw Data 1'!$G:$G,'Raw Data 1'!$A:$A,Operations!$K$3,'Raw Data 1'!$B:$B,$A13)</f>
        <v>4.3</v>
      </c>
      <c r="G13" s="12">
        <f>SUMIFS('Raw Data 1'!$H:$H,'Raw Data 1'!$A:$A,Operations!$K$3,'Raw Data 1'!$B:$B,$A13)</f>
        <v>-0.14880872558222699</v>
      </c>
      <c r="I13" s="1" t="s">
        <v>6</v>
      </c>
      <c r="J13" s="12">
        <f>SUMIFS('Raw Data 1'!$H:$H,'Raw Data 1'!$B:$B,Operations!$N$3,'Raw Data 1'!$A:$A,$I13)</f>
        <v>0.20310446266508106</v>
      </c>
    </row>
    <row r="14" spans="1:13" x14ac:dyDescent="0.3">
      <c r="A14" s="1">
        <v>2023</v>
      </c>
      <c r="B14" s="1">
        <f>SUMIFS('Raw Data 1'!$C:$C,'Raw Data 1'!$A:$A,Operations!$K$3,'Raw Data 1'!$B:$B,$A14)</f>
        <v>930</v>
      </c>
      <c r="C14" s="1">
        <f>SUMIFS('Raw Data 1'!$D:$D,'Raw Data 1'!$A:$A,Operations!$K$3,'Raw Data 1'!$B:$B,$A14)</f>
        <v>41</v>
      </c>
      <c r="D14" s="1">
        <f>SUMIFS('Raw Data 1'!$E:$E,'Raw Data 1'!$A:$A,Operations!$K$3,'Raw Data 1'!$B:$B,$A14)</f>
        <v>49766</v>
      </c>
      <c r="E14" s="1">
        <f>SUMIFS('Raw Data 1'!$F:$F,'Raw Data 1'!$A:$A,Operations!$K$3,'Raw Data 1'!$B:$B,$A14)</f>
        <v>15940</v>
      </c>
      <c r="F14" s="1">
        <f>SUMIFS('Raw Data 1'!$G:$G,'Raw Data 1'!$A:$A,Operations!$K$3,'Raw Data 1'!$B:$B,$A14)</f>
        <v>3.3</v>
      </c>
      <c r="G14" s="12">
        <f>SUMIFS('Raw Data 1'!$H:$H,'Raw Data 1'!$A:$A,Operations!$K$3,'Raw Data 1'!$B:$B,$A14)</f>
        <v>-0.40345043914680051</v>
      </c>
      <c r="I14" s="1" t="s">
        <v>19</v>
      </c>
      <c r="J14" s="12">
        <f>SUMIFS('Raw Data 1'!$H:$H,'Raw Data 1'!$B:$B,Operations!$N$3,'Raw Data 1'!$A:$A,$I14)</f>
        <v>-4.1288296698633625E-2</v>
      </c>
    </row>
    <row r="15" spans="1:13" x14ac:dyDescent="0.3">
      <c r="I15" s="1" t="s">
        <v>4</v>
      </c>
      <c r="J15" s="12">
        <f>SUMIFS('Raw Data 1'!$H:$H,'Raw Data 1'!$B:$B,Operations!$N$3,'Raw Data 1'!$A:$A,$I15)</f>
        <v>-0.51529235382308847</v>
      </c>
    </row>
    <row r="16" spans="1:13" x14ac:dyDescent="0.3">
      <c r="I16" s="1" t="s">
        <v>8</v>
      </c>
      <c r="J16" s="12">
        <f>SUMIFS('Raw Data 1'!$H:$H,'Raw Data 1'!$B:$B,Operations!$N$3,'Raw Data 1'!$A:$A,$I16)</f>
        <v>-0.14880872558222699</v>
      </c>
    </row>
    <row r="17" spans="1:10" x14ac:dyDescent="0.3">
      <c r="A17" s="1" t="s">
        <v>25</v>
      </c>
      <c r="B17" s="1" t="s">
        <v>26</v>
      </c>
      <c r="C17" s="1" t="s">
        <v>27</v>
      </c>
      <c r="D17" s="1" t="s">
        <v>28</v>
      </c>
      <c r="E17" s="1" t="s">
        <v>29</v>
      </c>
      <c r="F17" s="1" t="s">
        <v>30</v>
      </c>
      <c r="I17" s="1" t="s">
        <v>3</v>
      </c>
      <c r="J17" s="12">
        <f>SUMIFS('Raw Data 1'!$H:$H,'Raw Data 1'!$B:$B,Operations!$N$3,'Raw Data 1'!$A:$A,$I17)</f>
        <v>-1.2614345991561182</v>
      </c>
    </row>
    <row r="18" spans="1:10" x14ac:dyDescent="0.3">
      <c r="A18" s="1" t="s">
        <v>7</v>
      </c>
      <c r="B18" s="1">
        <f>'Raw Data 1'!$E2</f>
        <v>16455</v>
      </c>
      <c r="C18" s="1">
        <f>'Raw Data 1'!$E11</f>
        <v>19494</v>
      </c>
      <c r="D18" s="1">
        <f>'Raw Data 1'!$E20</f>
        <v>72833</v>
      </c>
      <c r="E18" s="1">
        <f>'Raw Data 1'!$E29</f>
        <v>36974</v>
      </c>
      <c r="F18" s="1">
        <f>'Raw Data 1'!$E38</f>
        <v>65359</v>
      </c>
      <c r="I18" s="1" t="s">
        <v>5</v>
      </c>
      <c r="J18" s="12">
        <f>SUMIFS('Raw Data 1'!$H:$H,'Raw Data 1'!$B:$B,Operations!$N$3,'Raw Data 1'!$A:$A,$I18)</f>
        <v>0.48205868614378528</v>
      </c>
    </row>
    <row r="19" spans="1:10" x14ac:dyDescent="0.3">
      <c r="A19" s="1" t="s">
        <v>2</v>
      </c>
      <c r="B19" s="1">
        <f>'Raw Data 1'!$E3</f>
        <v>63012</v>
      </c>
      <c r="C19" s="1">
        <f>'Raw Data 1'!$E12</f>
        <v>44512</v>
      </c>
      <c r="D19" s="1">
        <f>'Raw Data 1'!$E21</f>
        <v>37894</v>
      </c>
      <c r="E19" s="1">
        <f>'Raw Data 1'!$E30</f>
        <v>75321</v>
      </c>
      <c r="F19" s="1">
        <f>'Raw Data 1'!$E39</f>
        <v>57028</v>
      </c>
    </row>
    <row r="20" spans="1:10" x14ac:dyDescent="0.3">
      <c r="A20" s="1" t="s">
        <v>1</v>
      </c>
      <c r="B20" s="1">
        <f>'Raw Data 1'!$E4</f>
        <v>18149</v>
      </c>
      <c r="C20" s="1">
        <f>'Raw Data 1'!$E13</f>
        <v>99094</v>
      </c>
      <c r="D20" s="1">
        <f>'Raw Data 1'!$E22</f>
        <v>21038</v>
      </c>
      <c r="E20" s="1">
        <f>'Raw Data 1'!$E31</f>
        <v>94670</v>
      </c>
      <c r="F20" s="1">
        <f>'Raw Data 1'!$E40</f>
        <v>98477</v>
      </c>
    </row>
    <row r="21" spans="1:10" x14ac:dyDescent="0.3">
      <c r="A21" s="1" t="s">
        <v>6</v>
      </c>
      <c r="B21" s="1">
        <f>'Raw Data 1'!$E5</f>
        <v>24996</v>
      </c>
      <c r="C21" s="1">
        <f>'Raw Data 1'!$E14</f>
        <v>10697</v>
      </c>
      <c r="D21" s="1">
        <f>'Raw Data 1'!$E23</f>
        <v>35540</v>
      </c>
      <c r="E21" s="1">
        <f>'Raw Data 1'!$E32</f>
        <v>87998</v>
      </c>
      <c r="F21" s="1">
        <f>'Raw Data 1'!$E41</f>
        <v>37135</v>
      </c>
    </row>
    <row r="22" spans="1:10" x14ac:dyDescent="0.3">
      <c r="A22" s="1" t="s">
        <v>19</v>
      </c>
      <c r="B22" s="1">
        <f>'Raw Data 1'!$E6</f>
        <v>52558</v>
      </c>
      <c r="C22" s="1">
        <f>'Raw Data 1'!$E15</f>
        <v>13735</v>
      </c>
      <c r="D22" s="1">
        <f>'Raw Data 1'!$E24</f>
        <v>70445</v>
      </c>
      <c r="E22" s="1">
        <f>'Raw Data 1'!$E33</f>
        <v>55497</v>
      </c>
      <c r="F22" s="1">
        <f>'Raw Data 1'!$E42</f>
        <v>22772</v>
      </c>
    </row>
    <row r="23" spans="1:10" x14ac:dyDescent="0.3">
      <c r="A23" s="1" t="s">
        <v>4</v>
      </c>
      <c r="B23" s="1">
        <f>'Raw Data 1'!$E7</f>
        <v>94907</v>
      </c>
      <c r="C23" s="1">
        <f>'Raw Data 1'!$E16</f>
        <v>25549</v>
      </c>
      <c r="D23" s="1">
        <f>'Raw Data 1'!$E25</f>
        <v>20298</v>
      </c>
      <c r="E23" s="1">
        <f>'Raw Data 1'!$E34</f>
        <v>53543</v>
      </c>
      <c r="F23" s="1">
        <f>'Raw Data 1'!$E43</f>
        <v>70525</v>
      </c>
    </row>
    <row r="24" spans="1:10" x14ac:dyDescent="0.3">
      <c r="A24" s="1" t="s">
        <v>8</v>
      </c>
      <c r="B24" s="1">
        <f>'Raw Data 1'!$E8</f>
        <v>82005</v>
      </c>
      <c r="C24" s="1">
        <f>'Raw Data 1'!$E17</f>
        <v>10691</v>
      </c>
      <c r="D24" s="1">
        <f>'Raw Data 1'!$E26</f>
        <v>90569</v>
      </c>
      <c r="E24" s="1">
        <f>'Raw Data 1'!$E35</f>
        <v>14895</v>
      </c>
      <c r="F24" s="1">
        <f>'Raw Data 1'!$E44</f>
        <v>49766</v>
      </c>
    </row>
    <row r="25" spans="1:10" x14ac:dyDescent="0.3">
      <c r="A25" s="1" t="s">
        <v>3</v>
      </c>
      <c r="B25" s="1">
        <f>'Raw Data 1'!$E9</f>
        <v>92781</v>
      </c>
      <c r="C25" s="1">
        <f>'Raw Data 1'!$E18</f>
        <v>14511</v>
      </c>
      <c r="D25" s="1">
        <f>'Raw Data 1'!$E27</f>
        <v>67687</v>
      </c>
      <c r="E25" s="1">
        <f>'Raw Data 1'!$E36</f>
        <v>13713</v>
      </c>
      <c r="F25" s="1">
        <f>'Raw Data 1'!$E45</f>
        <v>93894</v>
      </c>
    </row>
    <row r="26" spans="1:10" x14ac:dyDescent="0.3">
      <c r="A26" s="1" t="s">
        <v>5</v>
      </c>
      <c r="B26" s="1">
        <f>'Raw Data 1'!$E10</f>
        <v>78443</v>
      </c>
      <c r="C26" s="1">
        <f>'Raw Data 1'!$E19</f>
        <v>88205</v>
      </c>
      <c r="D26" s="1">
        <f>'Raw Data 1'!$E28</f>
        <v>27821</v>
      </c>
      <c r="E26" s="1">
        <f>'Raw Data 1'!$E37</f>
        <v>77779</v>
      </c>
      <c r="F26" s="1">
        <f>'Raw Data 1'!$E46</f>
        <v>53707</v>
      </c>
    </row>
    <row r="29" spans="1:10" x14ac:dyDescent="0.3">
      <c r="A29" s="8" t="s">
        <v>7</v>
      </c>
      <c r="B29" s="4" t="str">
        <f>IF(Operations!$K$3=$A29,B$18,"")</f>
        <v/>
      </c>
      <c r="C29" s="4" t="str">
        <f>IF(Operations!$K$3=$A29,C$18,"")</f>
        <v/>
      </c>
      <c r="D29" s="4" t="str">
        <f>IF(Operations!$K$3=$A29,D$18,"")</f>
        <v/>
      </c>
      <c r="E29" s="4" t="str">
        <f>IF(Operations!$K$3=$A29,E$18,"")</f>
        <v/>
      </c>
      <c r="F29" s="4" t="str">
        <f>IF(Operations!$K$3=$A29,F$18,"")</f>
        <v/>
      </c>
    </row>
    <row r="30" spans="1:10" x14ac:dyDescent="0.3">
      <c r="A30" s="8" t="s">
        <v>7</v>
      </c>
      <c r="B30" s="4">
        <f>IF(Operations!$K$3&lt;&gt;$A29,B$18,"")</f>
        <v>16455</v>
      </c>
      <c r="C30" s="4">
        <f>IF(Operations!$K$3&lt;&gt;$A29,C$18,"")</f>
        <v>19494</v>
      </c>
      <c r="D30" s="4">
        <f>IF(Operations!$K$3&lt;&gt;$A29,D$18,"")</f>
        <v>72833</v>
      </c>
      <c r="E30" s="4">
        <f>IF(Operations!$K$3&lt;&gt;$A29,E$18,"")</f>
        <v>36974</v>
      </c>
      <c r="F30" s="4">
        <f>IF(Operations!$K$3&lt;&gt;$A29,F$18,"")</f>
        <v>65359</v>
      </c>
    </row>
    <row r="31" spans="1:10" x14ac:dyDescent="0.3">
      <c r="A31" s="9" t="s">
        <v>2</v>
      </c>
      <c r="B31" s="4" t="str">
        <f>IF(Operations!$K$3=$A31,B$19,"")</f>
        <v/>
      </c>
      <c r="C31" s="4" t="str">
        <f>IF(Operations!$K$3=$A31,C$19,"")</f>
        <v/>
      </c>
      <c r="D31" s="4" t="str">
        <f>IF(Operations!$K$3=$A31,D$19,"")</f>
        <v/>
      </c>
      <c r="E31" s="4" t="str">
        <f>IF(Operations!$K$3=$A31,E$19,"")</f>
        <v/>
      </c>
      <c r="F31" s="4" t="str">
        <f>IF(Operations!$K$3=$A31,F$19,"")</f>
        <v/>
      </c>
    </row>
    <row r="32" spans="1:10" x14ac:dyDescent="0.3">
      <c r="A32" s="9" t="s">
        <v>2</v>
      </c>
      <c r="B32" s="4">
        <f>IF(Operations!$K$3&lt;&gt;$A32,B$19,"")</f>
        <v>63012</v>
      </c>
      <c r="C32" s="4">
        <f>IF(Operations!$K$3&lt;&gt;$A32,C$19,"")</f>
        <v>44512</v>
      </c>
      <c r="D32" s="4">
        <f>IF(Operations!$K$3&lt;&gt;$A32,D$19,"")</f>
        <v>37894</v>
      </c>
      <c r="E32" s="4">
        <f>IF(Operations!$K$3&lt;&gt;$A32,E$19,"")</f>
        <v>75321</v>
      </c>
      <c r="F32" s="4">
        <f>IF(Operations!$K$3&lt;&gt;$A32,F$19,"")</f>
        <v>57028</v>
      </c>
    </row>
    <row r="33" spans="1:6" x14ac:dyDescent="0.3">
      <c r="A33" s="8" t="s">
        <v>1</v>
      </c>
      <c r="B33" s="4" t="str">
        <f>IF(Operations!$K$3=$A33,B$20,"")</f>
        <v/>
      </c>
      <c r="C33" s="4" t="str">
        <f>IF(Operations!$K$3=$A33,C$20,"")</f>
        <v/>
      </c>
      <c r="D33" s="4" t="str">
        <f>IF(Operations!$K$3=$A33,D$20,"")</f>
        <v/>
      </c>
      <c r="E33" s="4" t="str">
        <f>IF(Operations!$K$3=$A33,E$20,"")</f>
        <v/>
      </c>
      <c r="F33" s="4" t="str">
        <f>IF(Operations!$K$3=$A33,F$20,"")</f>
        <v/>
      </c>
    </row>
    <row r="34" spans="1:6" x14ac:dyDescent="0.3">
      <c r="A34" s="8" t="s">
        <v>1</v>
      </c>
      <c r="B34" s="4">
        <f>IF(Operations!$K$3&lt;&gt;$A34,B$20,"")</f>
        <v>18149</v>
      </c>
      <c r="C34" s="4">
        <f>IF(Operations!$K$3&lt;&gt;$A34,C$20,"")</f>
        <v>99094</v>
      </c>
      <c r="D34" s="4">
        <f>IF(Operations!$K$3&lt;&gt;$A34,D$20,"")</f>
        <v>21038</v>
      </c>
      <c r="E34" s="4">
        <f>IF(Operations!$K$3&lt;&gt;$A34,E$20,"")</f>
        <v>94670</v>
      </c>
      <c r="F34" s="4">
        <f>IF(Operations!$K$3&lt;&gt;$A34,F$20,"")</f>
        <v>98477</v>
      </c>
    </row>
    <row r="35" spans="1:6" x14ac:dyDescent="0.3">
      <c r="A35" s="9" t="s">
        <v>6</v>
      </c>
      <c r="B35" s="4" t="str">
        <f>IF(Operations!$K$3=$A35,B$21,"")</f>
        <v/>
      </c>
      <c r="C35" s="4" t="str">
        <f>IF(Operations!$K$3=$A35,C$21,"")</f>
        <v/>
      </c>
      <c r="D35" s="4" t="str">
        <f>IF(Operations!$K$3=$A35,D$21,"")</f>
        <v/>
      </c>
      <c r="E35" s="4" t="str">
        <f>IF(Operations!$K$3=$A35,E$21,"")</f>
        <v/>
      </c>
      <c r="F35" s="4" t="str">
        <f>IF(Operations!$K$3=$A35,F$21,"")</f>
        <v/>
      </c>
    </row>
    <row r="36" spans="1:6" x14ac:dyDescent="0.3">
      <c r="A36" s="9" t="s">
        <v>6</v>
      </c>
      <c r="B36" s="4">
        <f>IF(Operations!$K$3&lt;&gt;$A36,B$21,"")</f>
        <v>24996</v>
      </c>
      <c r="C36" s="4">
        <f>IF(Operations!$K$3&lt;&gt;$A36,C$21,"")</f>
        <v>10697</v>
      </c>
      <c r="D36" s="4">
        <f>IF(Operations!$K$3&lt;&gt;$A36,D$21,"")</f>
        <v>35540</v>
      </c>
      <c r="E36" s="4">
        <f>IF(Operations!$K$3&lt;&gt;$A36,E$21,"")</f>
        <v>87998</v>
      </c>
      <c r="F36" s="4">
        <f>IF(Operations!$K$3&lt;&gt;$A36,F$21,"")</f>
        <v>37135</v>
      </c>
    </row>
    <row r="37" spans="1:6" x14ac:dyDescent="0.3">
      <c r="A37" s="8" t="s">
        <v>19</v>
      </c>
      <c r="B37" s="4" t="str">
        <f>IF(Operations!$K$3=$A37,B$22,"")</f>
        <v/>
      </c>
      <c r="C37" s="4" t="str">
        <f>IF(Operations!$K$3=$A37,C$22,"")</f>
        <v/>
      </c>
      <c r="D37" s="4" t="str">
        <f>IF(Operations!$K$3=$A37,D$22,"")</f>
        <v/>
      </c>
      <c r="E37" s="4" t="str">
        <f>IF(Operations!$K$3=$A37,E$22,"")</f>
        <v/>
      </c>
      <c r="F37" s="4" t="str">
        <f>IF(Operations!$K$3=$A37,F$22,"")</f>
        <v/>
      </c>
    </row>
    <row r="38" spans="1:6" x14ac:dyDescent="0.3">
      <c r="A38" s="8" t="s">
        <v>19</v>
      </c>
      <c r="B38" s="4">
        <f>IF(Operations!$K$3&lt;&gt;$A38,B$22,"")</f>
        <v>52558</v>
      </c>
      <c r="C38" s="4">
        <f>IF(Operations!$K$3&lt;&gt;$A38,C$22,"")</f>
        <v>13735</v>
      </c>
      <c r="D38" s="4">
        <f>IF(Operations!$K$3&lt;&gt;$A38,D$22,"")</f>
        <v>70445</v>
      </c>
      <c r="E38" s="4">
        <f>IF(Operations!$K$3&lt;&gt;$A38,E$22,"")</f>
        <v>55497</v>
      </c>
      <c r="F38" s="4">
        <f>IF(Operations!$K$3&lt;&gt;$A38,F$22,"")</f>
        <v>22772</v>
      </c>
    </row>
    <row r="39" spans="1:6" x14ac:dyDescent="0.3">
      <c r="A39" s="9" t="s">
        <v>4</v>
      </c>
      <c r="B39" s="4" t="str">
        <f>IF(Operations!$K$3=$A39,B$23,"")</f>
        <v/>
      </c>
      <c r="C39" s="4" t="str">
        <f>IF(Operations!$K$3=$A39,C$23,"")</f>
        <v/>
      </c>
      <c r="D39" s="4" t="str">
        <f>IF(Operations!$K$3=$A39,D$23,"")</f>
        <v/>
      </c>
      <c r="E39" s="4" t="str">
        <f>IF(Operations!$K$3=$A39,E$23,"")</f>
        <v/>
      </c>
      <c r="F39" s="4" t="str">
        <f>IF(Operations!$K$3=$A39,F$23,"")</f>
        <v/>
      </c>
    </row>
    <row r="40" spans="1:6" x14ac:dyDescent="0.3">
      <c r="A40" s="9" t="s">
        <v>4</v>
      </c>
      <c r="B40" s="4">
        <f>IF(Operations!$K$3&lt;&gt;$A40,B$23,"")</f>
        <v>94907</v>
      </c>
      <c r="C40" s="4">
        <f>IF(Operations!$K$3&lt;&gt;$A40,C$23,"")</f>
        <v>25549</v>
      </c>
      <c r="D40" s="4">
        <f>IF(Operations!$K$3&lt;&gt;$A40,D$23,"")</f>
        <v>20298</v>
      </c>
      <c r="E40" s="4">
        <f>IF(Operations!$K$3&lt;&gt;$A40,E$23,"")</f>
        <v>53543</v>
      </c>
      <c r="F40" s="4">
        <f>IF(Operations!$K$3&lt;&gt;$A40,F$23,"")</f>
        <v>70525</v>
      </c>
    </row>
    <row r="41" spans="1:6" x14ac:dyDescent="0.3">
      <c r="A41" s="8" t="s">
        <v>8</v>
      </c>
      <c r="B41" s="4">
        <f>IF(Operations!$K$3=$A41,B$24,"")</f>
        <v>82005</v>
      </c>
      <c r="C41" s="4">
        <f>IF(Operations!$K$3=$A41,C$24,"")</f>
        <v>10691</v>
      </c>
      <c r="D41" s="4">
        <f>IF(Operations!$K$3=$A41,D$24,"")</f>
        <v>90569</v>
      </c>
      <c r="E41" s="4">
        <f>IF(Operations!$K$3=$A41,E$24,"")</f>
        <v>14895</v>
      </c>
      <c r="F41" s="4">
        <f>IF(Operations!$K$3=$A41,F$24,"")</f>
        <v>49766</v>
      </c>
    </row>
    <row r="42" spans="1:6" x14ac:dyDescent="0.3">
      <c r="A42" s="8" t="s">
        <v>8</v>
      </c>
      <c r="B42" s="4" t="str">
        <f>IF(Operations!$K$3&lt;&gt;$A42,B$24,"")</f>
        <v/>
      </c>
      <c r="C42" s="4" t="str">
        <f>IF(Operations!$K$3&lt;&gt;$A42,C$24,"")</f>
        <v/>
      </c>
      <c r="D42" s="4" t="str">
        <f>IF(Operations!$K$3&lt;&gt;$A42,D$24,"")</f>
        <v/>
      </c>
      <c r="E42" s="4" t="str">
        <f>IF(Operations!$K$3&lt;&gt;$A42,E$24,"")</f>
        <v/>
      </c>
      <c r="F42" s="4" t="str">
        <f>IF(Operations!$K$3&lt;&gt;$A42,F$24,"")</f>
        <v/>
      </c>
    </row>
    <row r="43" spans="1:6" x14ac:dyDescent="0.3">
      <c r="A43" s="9" t="s">
        <v>3</v>
      </c>
      <c r="B43" s="4" t="str">
        <f>IF(Operations!$K$3=$A43,B$25,"")</f>
        <v/>
      </c>
      <c r="C43" s="4" t="str">
        <f>IF(Operations!$K$3=$A43,C$25,"")</f>
        <v/>
      </c>
      <c r="D43" s="4" t="str">
        <f>IF(Operations!$K$3=$A43,D$25,"")</f>
        <v/>
      </c>
      <c r="E43" s="4" t="str">
        <f>IF(Operations!$K$3=$A43,E$25,"")</f>
        <v/>
      </c>
      <c r="F43" s="4" t="str">
        <f>IF(Operations!$K$3=$A43,F$25,"")</f>
        <v/>
      </c>
    </row>
    <row r="44" spans="1:6" x14ac:dyDescent="0.3">
      <c r="A44" s="9" t="s">
        <v>3</v>
      </c>
      <c r="B44" s="4">
        <f>IF(Operations!$K$3&lt;&gt;$A44,B$25,"")</f>
        <v>92781</v>
      </c>
      <c r="C44" s="4">
        <f>IF(Operations!$K$3&lt;&gt;$A44,C$25,"")</f>
        <v>14511</v>
      </c>
      <c r="D44" s="4">
        <f>IF(Operations!$K$3&lt;&gt;$A44,D$25,"")</f>
        <v>67687</v>
      </c>
      <c r="E44" s="4">
        <f>IF(Operations!$K$3&lt;&gt;$A44,E$25,"")</f>
        <v>13713</v>
      </c>
      <c r="F44" s="4">
        <f>IF(Operations!$K$3&lt;&gt;$A44,F$25,"")</f>
        <v>93894</v>
      </c>
    </row>
    <row r="45" spans="1:6" x14ac:dyDescent="0.3">
      <c r="A45" s="8" t="s">
        <v>5</v>
      </c>
      <c r="B45" s="4" t="str">
        <f>IF(Operations!$K$3=$A45,B$26,"")</f>
        <v/>
      </c>
      <c r="C45" s="4" t="str">
        <f>IF(Operations!$K$3=$A45,C$26,"")</f>
        <v/>
      </c>
      <c r="D45" s="4" t="str">
        <f>IF(Operations!$K$3=$A45,D$26,"")</f>
        <v/>
      </c>
      <c r="E45" s="4" t="str">
        <f>IF(Operations!$K$3=$A45,E$26,"")</f>
        <v/>
      </c>
      <c r="F45" s="4" t="str">
        <f>IF(Operations!$K$3=$A45,F$26,"")</f>
        <v/>
      </c>
    </row>
    <row r="46" spans="1:6" x14ac:dyDescent="0.3">
      <c r="A46" s="10" t="s">
        <v>5</v>
      </c>
      <c r="B46" s="4">
        <f>IF(Operations!$K$3&lt;&gt;$A46,B$26,"")</f>
        <v>78443</v>
      </c>
      <c r="C46" s="4">
        <f>IF(Operations!$K$3&lt;&gt;$A46,C$26,"")</f>
        <v>88205</v>
      </c>
      <c r="D46" s="4">
        <f>IF(Operations!$K$3&lt;&gt;$A46,D$26,"")</f>
        <v>27821</v>
      </c>
      <c r="E46" s="4">
        <f>IF(Operations!$K$3&lt;&gt;$A46,E$26,"")</f>
        <v>77779</v>
      </c>
      <c r="F46" s="4">
        <f>IF(Operations!$K$3&lt;&gt;$A46,F$26,"")</f>
        <v>53707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38FEC-89D8-47DA-8DC8-F0B9DEC6D046}">
  <sheetPr>
    <tabColor theme="5" tint="0.39997558519241921"/>
  </sheetPr>
  <dimension ref="A1:AK191"/>
  <sheetViews>
    <sheetView topLeftCell="A73" zoomScale="68" workbookViewId="0">
      <selection activeCell="AA38" sqref="AA38"/>
    </sheetView>
  </sheetViews>
  <sheetFormatPr defaultRowHeight="14.4" x14ac:dyDescent="0.3"/>
  <cols>
    <col min="1" max="1" width="14.5546875" customWidth="1"/>
    <col min="2" max="2" width="9.21875" customWidth="1"/>
    <col min="3" max="3" width="8.44140625" customWidth="1"/>
    <col min="4" max="4" width="9.109375" customWidth="1"/>
    <col min="5" max="5" width="16.5546875" customWidth="1"/>
    <col min="6" max="6" width="24.33203125" customWidth="1"/>
    <col min="7" max="7" width="12" bestFit="1" customWidth="1"/>
    <col min="8" max="8" width="17.77734375" customWidth="1"/>
    <col min="9" max="9" width="17.5546875" customWidth="1"/>
    <col min="10" max="10" width="22.33203125" bestFit="1" customWidth="1"/>
    <col min="11" max="13" width="22.33203125" customWidth="1"/>
    <col min="14" max="22" width="8.88671875" customWidth="1"/>
    <col min="23" max="24" width="2.21875" bestFit="1" customWidth="1"/>
    <col min="25" max="25" width="3.6640625" bestFit="1" customWidth="1"/>
    <col min="26" max="26" width="14.21875" customWidth="1"/>
    <col min="27" max="27" width="22.33203125" bestFit="1" customWidth="1"/>
    <col min="28" max="28" width="19.33203125" bestFit="1" customWidth="1"/>
    <col min="29" max="29" width="9.33203125" bestFit="1" customWidth="1"/>
    <col min="32" max="32" width="14.21875" customWidth="1"/>
    <col min="33" max="33" width="10.33203125" customWidth="1"/>
    <col min="34" max="34" width="9.21875" customWidth="1"/>
  </cols>
  <sheetData>
    <row r="1" spans="1:36" x14ac:dyDescent="0.3">
      <c r="A1" s="31" t="s">
        <v>9</v>
      </c>
      <c r="B1" s="31" t="s">
        <v>54</v>
      </c>
      <c r="C1" s="31" t="s">
        <v>39</v>
      </c>
      <c r="D1" s="31" t="s">
        <v>40</v>
      </c>
      <c r="E1" s="31" t="s">
        <v>53</v>
      </c>
      <c r="F1" s="31" t="s">
        <v>52</v>
      </c>
      <c r="G1" s="31" t="s">
        <v>51</v>
      </c>
      <c r="H1" s="31" t="s">
        <v>20</v>
      </c>
      <c r="I1" s="31" t="s">
        <v>50</v>
      </c>
      <c r="J1" s="31" t="s">
        <v>63</v>
      </c>
      <c r="K1" s="31" t="s">
        <v>104</v>
      </c>
      <c r="L1" s="31" t="s">
        <v>105</v>
      </c>
      <c r="M1" s="31" t="s">
        <v>106</v>
      </c>
      <c r="S1">
        <v>2</v>
      </c>
      <c r="T1">
        <v>1</v>
      </c>
      <c r="U1">
        <v>2019</v>
      </c>
      <c r="W1">
        <v>2</v>
      </c>
      <c r="X1">
        <v>1</v>
      </c>
      <c r="Y1" t="s">
        <v>35</v>
      </c>
      <c r="Z1" s="13" t="s">
        <v>9</v>
      </c>
      <c r="AA1" s="2" t="s">
        <v>52</v>
      </c>
      <c r="AB1" s="2"/>
      <c r="AC1" s="2"/>
      <c r="AF1" s="37" t="s">
        <v>56</v>
      </c>
    </row>
    <row r="2" spans="1:36" x14ac:dyDescent="0.3">
      <c r="A2" s="1" t="s">
        <v>30</v>
      </c>
      <c r="B2" s="1" t="s">
        <v>35</v>
      </c>
      <c r="C2" s="1" t="s">
        <v>42</v>
      </c>
      <c r="D2" s="1" t="s">
        <v>47</v>
      </c>
      <c r="E2" s="30">
        <v>4.2884298185009051</v>
      </c>
      <c r="F2" s="1">
        <v>143</v>
      </c>
      <c r="G2" s="33">
        <v>6700</v>
      </c>
      <c r="H2" s="38">
        <v>2808.1539085060981</v>
      </c>
      <c r="I2" s="1">
        <v>4736</v>
      </c>
      <c r="J2" s="40">
        <f>Rawdata2[[#This Row],[Gross Order Value]]/Rawdata2[[#This Row],[Number of Orders]]</f>
        <v>0.59293790297848359</v>
      </c>
      <c r="K2" s="38">
        <v>46918</v>
      </c>
      <c r="L2" s="80">
        <f>Rawdata2[[#This Row],[Revenue]]-Rawdata2[[#This Row],[Expenses]]</f>
        <v>-40218</v>
      </c>
      <c r="M2" s="12">
        <f>Rawdata2[[#This Row],[Net Income]]/Rawdata2[[#This Row],[Revenue]]</f>
        <v>-6.0026865671641794</v>
      </c>
      <c r="T2">
        <v>2</v>
      </c>
      <c r="U2">
        <v>2020</v>
      </c>
      <c r="X2">
        <v>2</v>
      </c>
      <c r="Y2" t="s">
        <v>36</v>
      </c>
      <c r="Z2" s="8">
        <v>2019</v>
      </c>
      <c r="AA2" s="4">
        <f>SUMIFS(Rawdata2[New Onboard Restaurants],Rawdata2[Quarter],'Business and Sales'!$N$2,Rawdata2[Region],'Business and Sales'!$K$4,Rawdata2[Financial Year],$Z2)</f>
        <v>421</v>
      </c>
      <c r="AB2" s="4"/>
      <c r="AC2" s="4"/>
      <c r="AF2" t="s">
        <v>57</v>
      </c>
    </row>
    <row r="3" spans="1:36" x14ac:dyDescent="0.3">
      <c r="A3" s="1" t="s">
        <v>29</v>
      </c>
      <c r="B3" s="1" t="s">
        <v>35</v>
      </c>
      <c r="C3" s="1" t="s">
        <v>42</v>
      </c>
      <c r="D3" s="1" t="s">
        <v>43</v>
      </c>
      <c r="E3" s="30">
        <v>4.4115003807931066</v>
      </c>
      <c r="F3" s="1">
        <v>439</v>
      </c>
      <c r="G3" s="34">
        <v>26168</v>
      </c>
      <c r="H3" s="38">
        <v>24840.788229694848</v>
      </c>
      <c r="I3" s="1">
        <v>8272</v>
      </c>
      <c r="J3" s="40">
        <f>Rawdata2[[#This Row],[Gross Order Value]]/Rawdata2[[#This Row],[Number of Orders]]</f>
        <v>3.002996642854793</v>
      </c>
      <c r="K3" s="38">
        <v>14478</v>
      </c>
      <c r="L3" s="80">
        <f>Rawdata2[[#This Row],[Revenue]]-Rawdata2[[#This Row],[Expenses]]</f>
        <v>11690</v>
      </c>
      <c r="M3" s="12">
        <f>Rawdata2[[#This Row],[Net Income]]/Rawdata2[[#This Row],[Revenue]]</f>
        <v>0.44672882910424949</v>
      </c>
      <c r="T3">
        <v>3</v>
      </c>
      <c r="U3">
        <v>2021</v>
      </c>
      <c r="X3">
        <v>3</v>
      </c>
      <c r="Y3" t="s">
        <v>37</v>
      </c>
      <c r="Z3" s="9">
        <v>2020</v>
      </c>
      <c r="AA3" s="4">
        <f>SUMIFS(Rawdata2[New Onboard Restaurants],Rawdata2[Quarter],'Business and Sales'!$N$2,Rawdata2[Region],'Business and Sales'!$K$4,Rawdata2[Financial Year],$Z3)</f>
        <v>217</v>
      </c>
      <c r="AB3" s="5"/>
      <c r="AC3" s="5"/>
      <c r="AF3" t="s">
        <v>58</v>
      </c>
    </row>
    <row r="4" spans="1:36" x14ac:dyDescent="0.3">
      <c r="A4" s="1">
        <v>2019</v>
      </c>
      <c r="B4" s="1" t="s">
        <v>35</v>
      </c>
      <c r="C4" s="1" t="s">
        <v>42</v>
      </c>
      <c r="D4" s="1" t="s">
        <v>41</v>
      </c>
      <c r="E4" s="30">
        <v>4.7415781996597159</v>
      </c>
      <c r="F4" s="1">
        <v>208</v>
      </c>
      <c r="G4" s="33">
        <v>15156</v>
      </c>
      <c r="H4" s="38">
        <v>23153.25903714195</v>
      </c>
      <c r="I4" s="1">
        <v>6210</v>
      </c>
      <c r="J4" s="40">
        <f>Rawdata2[[#This Row],[Gross Order Value]]/Rawdata2[[#This Row],[Number of Orders]]</f>
        <v>3.7283830977684298</v>
      </c>
      <c r="K4" s="38">
        <v>47925</v>
      </c>
      <c r="L4" s="80">
        <f>Rawdata2[[#This Row],[Revenue]]-Rawdata2[[#This Row],[Expenses]]</f>
        <v>-32769</v>
      </c>
      <c r="M4" s="12">
        <f>Rawdata2[[#This Row],[Net Income]]/Rawdata2[[#This Row],[Revenue]]</f>
        <v>-2.1621140142517814</v>
      </c>
      <c r="T4">
        <v>4</v>
      </c>
      <c r="U4">
        <v>2022</v>
      </c>
      <c r="X4">
        <v>4</v>
      </c>
      <c r="Y4" t="s">
        <v>38</v>
      </c>
      <c r="Z4" s="8">
        <v>2021</v>
      </c>
      <c r="AA4" s="4">
        <f>SUMIFS(Rawdata2[New Onboard Restaurants],Rawdata2[Quarter],'Business and Sales'!$N$2,Rawdata2[Region],'Business and Sales'!$K$4,Rawdata2[Financial Year],$Z4)</f>
        <v>442</v>
      </c>
      <c r="AB4" s="4"/>
      <c r="AC4" s="4"/>
      <c r="AF4" t="s">
        <v>59</v>
      </c>
    </row>
    <row r="5" spans="1:36" x14ac:dyDescent="0.3">
      <c r="A5" s="1" t="s">
        <v>28</v>
      </c>
      <c r="B5" s="1" t="s">
        <v>35</v>
      </c>
      <c r="C5" s="1" t="s">
        <v>49</v>
      </c>
      <c r="D5" s="1" t="s">
        <v>0</v>
      </c>
      <c r="E5" s="30">
        <v>4.852364466091621</v>
      </c>
      <c r="F5" s="1">
        <v>289</v>
      </c>
      <c r="G5" s="34">
        <v>33181</v>
      </c>
      <c r="H5" s="38">
        <v>19991.75499528593</v>
      </c>
      <c r="I5" s="1">
        <v>5519</v>
      </c>
      <c r="J5" s="40">
        <f>Rawdata2[[#This Row],[Gross Order Value]]/Rawdata2[[#This Row],[Number of Orders]]</f>
        <v>3.6223509685243576</v>
      </c>
      <c r="K5" s="38">
        <v>24193</v>
      </c>
      <c r="L5" s="80">
        <f>Rawdata2[[#This Row],[Revenue]]-Rawdata2[[#This Row],[Expenses]]</f>
        <v>8988</v>
      </c>
      <c r="M5" s="12">
        <f>Rawdata2[[#This Row],[Net Income]]/Rawdata2[[#This Row],[Revenue]]</f>
        <v>0.27087791205810552</v>
      </c>
      <c r="T5">
        <v>5</v>
      </c>
      <c r="U5">
        <v>2023</v>
      </c>
      <c r="Z5" s="9">
        <v>2022</v>
      </c>
      <c r="AA5" s="4">
        <f>SUMIFS(Rawdata2[New Onboard Restaurants],Rawdata2[Quarter],'Business and Sales'!$N$2,Rawdata2[Region],'Business and Sales'!$K$4,Rawdata2[Financial Year],$Z5)</f>
        <v>265</v>
      </c>
      <c r="AB5" s="5"/>
      <c r="AC5" s="5"/>
    </row>
    <row r="6" spans="1:36" x14ac:dyDescent="0.3">
      <c r="A6" s="1">
        <v>2020</v>
      </c>
      <c r="B6" s="1" t="s">
        <v>35</v>
      </c>
      <c r="C6" s="1" t="s">
        <v>49</v>
      </c>
      <c r="D6" s="1" t="s">
        <v>48</v>
      </c>
      <c r="E6" s="30">
        <v>4.7075882256682613</v>
      </c>
      <c r="F6" s="1">
        <v>184</v>
      </c>
      <c r="G6" s="33">
        <v>29182</v>
      </c>
      <c r="H6" s="38">
        <v>10751.946348047581</v>
      </c>
      <c r="I6" s="1">
        <v>7593</v>
      </c>
      <c r="J6" s="40">
        <f>Rawdata2[[#This Row],[Gross Order Value]]/Rawdata2[[#This Row],[Number of Orders]]</f>
        <v>1.4160340245025129</v>
      </c>
      <c r="K6" s="38">
        <v>13606</v>
      </c>
      <c r="L6" s="80">
        <f>Rawdata2[[#This Row],[Revenue]]-Rawdata2[[#This Row],[Expenses]]</f>
        <v>15576</v>
      </c>
      <c r="M6" s="12">
        <f>Rawdata2[[#This Row],[Net Income]]/Rawdata2[[#This Row],[Revenue]]</f>
        <v>0.53375368377767118</v>
      </c>
      <c r="Z6" s="8">
        <v>2023</v>
      </c>
      <c r="AA6" s="4">
        <f>SUMIFS(Rawdata2[New Onboard Restaurants],Rawdata2[Quarter],'Business and Sales'!$N$2,Rawdata2[Region],'Business and Sales'!$K$4,Rawdata2[Financial Year],$Z6)</f>
        <v>657</v>
      </c>
      <c r="AB6" s="4"/>
      <c r="AC6" s="4"/>
    </row>
    <row r="7" spans="1:36" x14ac:dyDescent="0.3">
      <c r="A7" s="1" t="s">
        <v>28</v>
      </c>
      <c r="B7" s="1" t="s">
        <v>35</v>
      </c>
      <c r="C7" s="1" t="s">
        <v>44</v>
      </c>
      <c r="D7" s="1" t="s">
        <v>46</v>
      </c>
      <c r="E7" s="30">
        <v>4.5175814350163517</v>
      </c>
      <c r="F7" s="1">
        <v>38</v>
      </c>
      <c r="G7" s="34">
        <v>47346</v>
      </c>
      <c r="H7" s="38">
        <v>15852.77024113808</v>
      </c>
      <c r="I7" s="1">
        <v>4637</v>
      </c>
      <c r="J7" s="40">
        <f>Rawdata2[[#This Row],[Gross Order Value]]/Rawdata2[[#This Row],[Number of Orders]]</f>
        <v>3.4187557129907438</v>
      </c>
      <c r="K7" s="38">
        <v>49691</v>
      </c>
      <c r="L7" s="80">
        <f>Rawdata2[[#This Row],[Revenue]]-Rawdata2[[#This Row],[Expenses]]</f>
        <v>-2345</v>
      </c>
      <c r="M7" s="12">
        <f>Rawdata2[[#This Row],[Net Income]]/Rawdata2[[#This Row],[Revenue]]</f>
        <v>-4.9528999281882313E-2</v>
      </c>
      <c r="S7">
        <v>4</v>
      </c>
      <c r="T7">
        <v>1</v>
      </c>
      <c r="U7" t="s">
        <v>42</v>
      </c>
    </row>
    <row r="8" spans="1:36" x14ac:dyDescent="0.3">
      <c r="A8" s="1" t="s">
        <v>30</v>
      </c>
      <c r="B8" s="1" t="s">
        <v>35</v>
      </c>
      <c r="C8" s="1" t="s">
        <v>44</v>
      </c>
      <c r="D8" s="1" t="s">
        <v>41</v>
      </c>
      <c r="E8" s="30">
        <v>4.5852416452982236</v>
      </c>
      <c r="F8" s="1">
        <v>369</v>
      </c>
      <c r="G8" s="33">
        <v>7959</v>
      </c>
      <c r="H8" s="38">
        <v>15944.82268788199</v>
      </c>
      <c r="I8" s="1">
        <v>8639</v>
      </c>
      <c r="J8" s="40">
        <f>Rawdata2[[#This Row],[Gross Order Value]]/Rawdata2[[#This Row],[Number of Orders]]</f>
        <v>1.8456792091540675</v>
      </c>
      <c r="K8" s="38">
        <v>38608</v>
      </c>
      <c r="L8" s="80">
        <f>Rawdata2[[#This Row],[Revenue]]-Rawdata2[[#This Row],[Expenses]]</f>
        <v>-30649</v>
      </c>
      <c r="M8" s="12">
        <f>Rawdata2[[#This Row],[Net Income]]/Rawdata2[[#This Row],[Revenue]]</f>
        <v>-3.8508606608870459</v>
      </c>
      <c r="T8">
        <v>2</v>
      </c>
      <c r="U8" t="s">
        <v>49</v>
      </c>
    </row>
    <row r="9" spans="1:36" x14ac:dyDescent="0.3">
      <c r="A9" s="1" t="s">
        <v>26</v>
      </c>
      <c r="B9" s="1" t="s">
        <v>35</v>
      </c>
      <c r="C9" s="1" t="s">
        <v>44</v>
      </c>
      <c r="D9" s="1" t="s">
        <v>43</v>
      </c>
      <c r="E9" s="30">
        <v>4.4251002365164078</v>
      </c>
      <c r="F9" s="1">
        <v>338</v>
      </c>
      <c r="G9" s="34">
        <v>27552</v>
      </c>
      <c r="H9" s="38">
        <v>7983.0764707342914</v>
      </c>
      <c r="I9" s="1">
        <v>7534</v>
      </c>
      <c r="J9" s="40">
        <f>Rawdata2[[#This Row],[Gross Order Value]]/Rawdata2[[#This Row],[Number of Orders]]</f>
        <v>1.0596066459695104</v>
      </c>
      <c r="K9" s="38">
        <v>14953</v>
      </c>
      <c r="L9" s="80">
        <f>Rawdata2[[#This Row],[Revenue]]-Rawdata2[[#This Row],[Expenses]]</f>
        <v>12599</v>
      </c>
      <c r="M9" s="12">
        <f>Rawdata2[[#This Row],[Net Income]]/Rawdata2[[#This Row],[Revenue]]</f>
        <v>0.45728077816492452</v>
      </c>
      <c r="T9">
        <v>3</v>
      </c>
      <c r="U9" t="s">
        <v>44</v>
      </c>
      <c r="Z9" s="1" t="s">
        <v>55</v>
      </c>
      <c r="AA9" s="1" t="s">
        <v>51</v>
      </c>
    </row>
    <row r="10" spans="1:36" x14ac:dyDescent="0.3">
      <c r="A10" s="1" t="s">
        <v>27</v>
      </c>
      <c r="B10" s="1" t="s">
        <v>35</v>
      </c>
      <c r="C10" s="1" t="s">
        <v>44</v>
      </c>
      <c r="D10" s="1" t="s">
        <v>41</v>
      </c>
      <c r="E10" s="30">
        <v>4.6800019012261869</v>
      </c>
      <c r="F10" s="1">
        <v>220</v>
      </c>
      <c r="G10" s="33">
        <v>27377</v>
      </c>
      <c r="H10" s="38">
        <v>2808.9551269108779</v>
      </c>
      <c r="I10" s="1">
        <v>1594</v>
      </c>
      <c r="J10" s="40">
        <f>Rawdata2[[#This Row],[Gross Order Value]]/Rawdata2[[#This Row],[Number of Orders]]</f>
        <v>1.7622052239089572</v>
      </c>
      <c r="K10" s="38">
        <v>34586</v>
      </c>
      <c r="L10" s="80">
        <f>Rawdata2[[#This Row],[Revenue]]-Rawdata2[[#This Row],[Expenses]]</f>
        <v>-7209</v>
      </c>
      <c r="M10" s="12">
        <f>Rawdata2[[#This Row],[Net Income]]/Rawdata2[[#This Row],[Revenue]]</f>
        <v>-0.26332322752675602</v>
      </c>
      <c r="T10">
        <v>4</v>
      </c>
      <c r="U10" t="s">
        <v>45</v>
      </c>
      <c r="Z10" s="1" t="s">
        <v>35</v>
      </c>
      <c r="AA10" s="32">
        <f>SUMIFS(Rawdata2[Revenue],Rawdata2[Financial Year],'Business and Sales'!$K$2,Rawdata2[Region],'Business and Sales'!$K$4,Rawdata2[Quarter],$Z10)</f>
        <v>20000</v>
      </c>
      <c r="AF10">
        <f>MAX(Rawdata2[Average Order Value])</f>
        <v>77.992907444742926</v>
      </c>
    </row>
    <row r="11" spans="1:36" x14ac:dyDescent="0.3">
      <c r="A11" s="1" t="s">
        <v>30</v>
      </c>
      <c r="B11" s="1" t="s">
        <v>35</v>
      </c>
      <c r="C11" s="1" t="s">
        <v>45</v>
      </c>
      <c r="D11" s="1" t="s">
        <v>0</v>
      </c>
      <c r="E11" s="30">
        <v>4.6862441414662204</v>
      </c>
      <c r="F11" s="1">
        <v>379</v>
      </c>
      <c r="G11" s="34">
        <v>35390</v>
      </c>
      <c r="H11" s="38">
        <v>12579.360477735019</v>
      </c>
      <c r="I11" s="1">
        <v>2008</v>
      </c>
      <c r="J11" s="40">
        <f>Rawdata2[[#This Row],[Gross Order Value]]/Rawdata2[[#This Row],[Number of Orders]]</f>
        <v>6.2646217518600693</v>
      </c>
      <c r="K11" s="38">
        <v>25830</v>
      </c>
      <c r="L11" s="80">
        <f>Rawdata2[[#This Row],[Revenue]]-Rawdata2[[#This Row],[Expenses]]</f>
        <v>9560</v>
      </c>
      <c r="M11" s="12">
        <f>Rawdata2[[#This Row],[Net Income]]/Rawdata2[[#This Row],[Revenue]]</f>
        <v>0.27013280587736649</v>
      </c>
      <c r="Z11" s="1" t="s">
        <v>36</v>
      </c>
      <c r="AA11" s="32">
        <f>SUMIFS(Rawdata2[Revenue],Rawdata2[Financial Year],'Business and Sales'!$K$2,Rawdata2[Region],'Business and Sales'!$K$4,Rawdata2[Quarter],$Z11)</f>
        <v>51203</v>
      </c>
    </row>
    <row r="12" spans="1:36" x14ac:dyDescent="0.3">
      <c r="A12" s="1">
        <v>2019</v>
      </c>
      <c r="B12" s="1" t="s">
        <v>35</v>
      </c>
      <c r="C12" s="1" t="s">
        <v>45</v>
      </c>
      <c r="D12" s="1" t="s">
        <v>48</v>
      </c>
      <c r="E12" s="30">
        <v>4.5056763756063658</v>
      </c>
      <c r="F12" s="1">
        <v>24</v>
      </c>
      <c r="G12" s="33">
        <v>11952</v>
      </c>
      <c r="H12" s="38">
        <v>14395.49565387811</v>
      </c>
      <c r="I12" s="1">
        <v>8062</v>
      </c>
      <c r="J12" s="40">
        <f>Rawdata2[[#This Row],[Gross Order Value]]/Rawdata2[[#This Row],[Number of Orders]]</f>
        <v>1.7855985678340498</v>
      </c>
      <c r="K12" s="38">
        <v>19544</v>
      </c>
      <c r="L12" s="80">
        <f>Rawdata2[[#This Row],[Revenue]]-Rawdata2[[#This Row],[Expenses]]</f>
        <v>-7592</v>
      </c>
      <c r="M12" s="12">
        <f>Rawdata2[[#This Row],[Net Income]]/Rawdata2[[#This Row],[Revenue]]</f>
        <v>-0.6352074966532798</v>
      </c>
      <c r="Z12" s="1" t="s">
        <v>37</v>
      </c>
      <c r="AA12" s="32">
        <f>SUMIFS(Rawdata2[Revenue],Rawdata2[Financial Year],'Business and Sales'!$K$2,Rawdata2[Region],'Business and Sales'!$K$4,Rawdata2[Quarter],$Z12)</f>
        <v>77901</v>
      </c>
    </row>
    <row r="13" spans="1:36" x14ac:dyDescent="0.3">
      <c r="A13" s="1" t="s">
        <v>29</v>
      </c>
      <c r="B13" s="1" t="s">
        <v>35</v>
      </c>
      <c r="C13" s="1" t="s">
        <v>49</v>
      </c>
      <c r="D13" s="1" t="s">
        <v>46</v>
      </c>
      <c r="E13" s="30">
        <v>4.7771031502681369</v>
      </c>
      <c r="F13" s="1">
        <v>392</v>
      </c>
      <c r="G13" s="34">
        <v>23764</v>
      </c>
      <c r="H13" s="38">
        <v>22272.983762227559</v>
      </c>
      <c r="I13" s="1">
        <v>4350</v>
      </c>
      <c r="J13" s="40">
        <f>Rawdata2[[#This Row],[Gross Order Value]]/Rawdata2[[#This Row],[Number of Orders]]</f>
        <v>5.1202261522362207</v>
      </c>
      <c r="K13" s="38">
        <v>21511</v>
      </c>
      <c r="L13" s="80">
        <f>Rawdata2[[#This Row],[Revenue]]-Rawdata2[[#This Row],[Expenses]]</f>
        <v>2253</v>
      </c>
      <c r="M13" s="12">
        <f>Rawdata2[[#This Row],[Net Income]]/Rawdata2[[#This Row],[Revenue]]</f>
        <v>9.4807271503113952E-2</v>
      </c>
      <c r="S13">
        <v>3</v>
      </c>
      <c r="T13">
        <v>1</v>
      </c>
      <c r="U13" t="str" cm="1">
        <f t="array" ref="U13:U18">_xlfn.UNIQUE(D2:D110)</f>
        <v>Mexican</v>
      </c>
      <c r="Z13" s="1" t="s">
        <v>38</v>
      </c>
      <c r="AA13" s="32">
        <f>SUMIFS(Rawdata2[Revenue],Rawdata2[Financial Year],'Business and Sales'!$K$2,Rawdata2[Region],'Business and Sales'!$K$4,Rawdata2[Quarter],$Z13)</f>
        <v>24656</v>
      </c>
    </row>
    <row r="14" spans="1:36" x14ac:dyDescent="0.3">
      <c r="A14" s="1" t="s">
        <v>30</v>
      </c>
      <c r="B14" s="1" t="s">
        <v>36</v>
      </c>
      <c r="C14" s="1" t="s">
        <v>42</v>
      </c>
      <c r="D14" s="1" t="s">
        <v>48</v>
      </c>
      <c r="E14" s="30">
        <v>4.2895660066921222</v>
      </c>
      <c r="F14" s="1">
        <v>383</v>
      </c>
      <c r="G14" s="33">
        <v>27102</v>
      </c>
      <c r="H14" s="38">
        <v>12120.976478482129</v>
      </c>
      <c r="I14" s="1">
        <v>5744</v>
      </c>
      <c r="J14" s="40">
        <f>Rawdata2[[#This Row],[Gross Order Value]]/Rawdata2[[#This Row],[Number of Orders]]</f>
        <v>2.1101978548889502</v>
      </c>
      <c r="K14" s="38">
        <v>26544</v>
      </c>
      <c r="L14" s="80">
        <f>Rawdata2[[#This Row],[Revenue]]-Rawdata2[[#This Row],[Expenses]]</f>
        <v>558</v>
      </c>
      <c r="M14" s="12">
        <f>Rawdata2[[#This Row],[Net Income]]/Rawdata2[[#This Row],[Revenue]]</f>
        <v>2.0588886429045827E-2</v>
      </c>
      <c r="T14">
        <v>2</v>
      </c>
      <c r="U14" t="str">
        <v>Japanese</v>
      </c>
    </row>
    <row r="15" spans="1:36" x14ac:dyDescent="0.3">
      <c r="A15" s="1">
        <v>2021</v>
      </c>
      <c r="B15" s="1" t="s">
        <v>36</v>
      </c>
      <c r="C15" s="1" t="s">
        <v>42</v>
      </c>
      <c r="D15" s="1" t="s">
        <v>0</v>
      </c>
      <c r="E15" s="30">
        <v>4.3751983872321638</v>
      </c>
      <c r="F15" s="1">
        <v>359</v>
      </c>
      <c r="G15" s="34">
        <v>24709</v>
      </c>
      <c r="H15" s="38">
        <v>5016.1180502106854</v>
      </c>
      <c r="I15" s="1">
        <v>495</v>
      </c>
      <c r="J15" s="40">
        <f>Rawdata2[[#This Row],[Gross Order Value]]/Rawdata2[[#This Row],[Number of Orders]]</f>
        <v>10.133571818607445</v>
      </c>
      <c r="K15" s="38">
        <v>33680</v>
      </c>
      <c r="L15" s="80">
        <f>Rawdata2[[#This Row],[Revenue]]-Rawdata2[[#This Row],[Expenses]]</f>
        <v>-8971</v>
      </c>
      <c r="M15" s="12">
        <f>Rawdata2[[#This Row],[Net Income]]/Rawdata2[[#This Row],[Revenue]]</f>
        <v>-0.36306608927921002</v>
      </c>
      <c r="T15">
        <v>3</v>
      </c>
      <c r="U15" t="str">
        <v>Chinese</v>
      </c>
      <c r="Z15" s="1" t="s">
        <v>9</v>
      </c>
      <c r="AA15" s="1" t="s">
        <v>55</v>
      </c>
      <c r="AB15" s="1" t="s">
        <v>57</v>
      </c>
      <c r="AC15" s="1" t="s">
        <v>58</v>
      </c>
      <c r="AD15" s="1" t="s">
        <v>59</v>
      </c>
      <c r="AF15" s="1" t="s">
        <v>9</v>
      </c>
      <c r="AG15" s="1" t="s">
        <v>60</v>
      </c>
      <c r="AH15" s="1" t="s">
        <v>61</v>
      </c>
      <c r="AI15" s="1" t="s">
        <v>62</v>
      </c>
      <c r="AJ15" s="1" t="s">
        <v>59</v>
      </c>
    </row>
    <row r="16" spans="1:36" x14ac:dyDescent="0.3">
      <c r="A16" s="1" t="s">
        <v>26</v>
      </c>
      <c r="B16" s="1" t="s">
        <v>36</v>
      </c>
      <c r="C16" s="1" t="s">
        <v>42</v>
      </c>
      <c r="D16" s="1" t="s">
        <v>46</v>
      </c>
      <c r="E16" s="30">
        <v>4.5053934538825873</v>
      </c>
      <c r="F16" s="1">
        <v>315</v>
      </c>
      <c r="G16" s="33">
        <v>27430</v>
      </c>
      <c r="H16" s="38">
        <v>21303.74007571851</v>
      </c>
      <c r="I16" s="1">
        <v>7572</v>
      </c>
      <c r="J16" s="40">
        <f>Rawdata2[[#This Row],[Gross Order Value]]/Rawdata2[[#This Row],[Number of Orders]]</f>
        <v>2.813489180628435</v>
      </c>
      <c r="K16" s="38">
        <v>37279</v>
      </c>
      <c r="L16" s="80">
        <f>Rawdata2[[#This Row],[Revenue]]-Rawdata2[[#This Row],[Expenses]]</f>
        <v>-9849</v>
      </c>
      <c r="M16" s="12">
        <f>Rawdata2[[#This Row],[Net Income]]/Rawdata2[[#This Row],[Revenue]]</f>
        <v>-0.35905942398833396</v>
      </c>
      <c r="T16">
        <v>4</v>
      </c>
      <c r="U16" t="str">
        <v>Italian</v>
      </c>
      <c r="Z16" s="1">
        <v>2019</v>
      </c>
      <c r="AA16" s="1" t="s">
        <v>35</v>
      </c>
      <c r="AB16" s="1">
        <v>40</v>
      </c>
      <c r="AC16" s="1">
        <v>35</v>
      </c>
      <c r="AD16" s="1">
        <v>25</v>
      </c>
      <c r="AF16" s="1">
        <f>'Business and Sales'!K2</f>
        <v>2020</v>
      </c>
      <c r="AG16" s="30" t="str">
        <f>'Business and Sales'!N2</f>
        <v>Q2</v>
      </c>
      <c r="AH16" s="1">
        <f>SUMIFS(Table8[Zomato],Table8[Financial Year],'Business and Sales'!$K$2,Table8[Quarters],'Business and Sales'!$N$2)</f>
        <v>40</v>
      </c>
      <c r="AI16" s="1">
        <f>SUMIFS(Table8[Swiggy],Table8[Financial Year],'Business and Sales'!$K$2,Table8[Quarters],'Business and Sales'!$N$2)</f>
        <v>37</v>
      </c>
      <c r="AJ16" s="1">
        <f>SUMIFS(Table8[Uber],Table8[Financial Year],'Business and Sales'!$K$2,Table8[Quarters],'Business and Sales'!$N$2)</f>
        <v>23</v>
      </c>
    </row>
    <row r="17" spans="1:37" x14ac:dyDescent="0.3">
      <c r="A17" s="1" t="s">
        <v>29</v>
      </c>
      <c r="B17" s="1" t="s">
        <v>36</v>
      </c>
      <c r="C17" s="1" t="s">
        <v>49</v>
      </c>
      <c r="D17" s="1" t="s">
        <v>41</v>
      </c>
      <c r="E17" s="30">
        <v>4.5970464846850376</v>
      </c>
      <c r="F17" s="1">
        <v>420</v>
      </c>
      <c r="G17" s="34">
        <v>9793</v>
      </c>
      <c r="H17" s="38">
        <v>5435.8066469324303</v>
      </c>
      <c r="I17" s="1">
        <v>8961</v>
      </c>
      <c r="J17" s="40">
        <f>Rawdata2[[#This Row],[Gross Order Value]]/Rawdata2[[#This Row],[Number of Orders]]</f>
        <v>0.60660714729744791</v>
      </c>
      <c r="K17" s="38">
        <v>54616</v>
      </c>
      <c r="L17" s="80">
        <f>Rawdata2[[#This Row],[Revenue]]-Rawdata2[[#This Row],[Expenses]]</f>
        <v>-44823</v>
      </c>
      <c r="M17" s="12">
        <f>Rawdata2[[#This Row],[Net Income]]/Rawdata2[[#This Row],[Revenue]]</f>
        <v>-4.5770448279383231</v>
      </c>
      <c r="T17">
        <v>5</v>
      </c>
      <c r="U17" t="str">
        <v>Thai</v>
      </c>
      <c r="Z17" s="1">
        <v>2019</v>
      </c>
      <c r="AA17" s="1" t="s">
        <v>36</v>
      </c>
      <c r="AB17" s="1">
        <v>42</v>
      </c>
      <c r="AC17" s="1">
        <v>33</v>
      </c>
      <c r="AD17" s="1">
        <v>25</v>
      </c>
      <c r="AF17" s="1"/>
      <c r="AG17" s="36"/>
    </row>
    <row r="18" spans="1:37" x14ac:dyDescent="0.3">
      <c r="A18" s="1" t="s">
        <v>27</v>
      </c>
      <c r="B18" s="1" t="s">
        <v>36</v>
      </c>
      <c r="C18" s="1" t="s">
        <v>49</v>
      </c>
      <c r="D18" s="1" t="s">
        <v>47</v>
      </c>
      <c r="E18" s="30">
        <v>4.4046536967556538</v>
      </c>
      <c r="F18" s="1">
        <v>416</v>
      </c>
      <c r="G18" s="33">
        <v>3962</v>
      </c>
      <c r="H18" s="38">
        <v>6940.5771987384869</v>
      </c>
      <c r="I18" s="1">
        <v>2042</v>
      </c>
      <c r="J18" s="40">
        <f>Rawdata2[[#This Row],[Gross Order Value]]/Rawdata2[[#This Row],[Number of Orders]]</f>
        <v>3.398911458735792</v>
      </c>
      <c r="K18" s="38">
        <v>38366</v>
      </c>
      <c r="L18" s="80">
        <f>Rawdata2[[#This Row],[Revenue]]-Rawdata2[[#This Row],[Expenses]]</f>
        <v>-34404</v>
      </c>
      <c r="M18" s="12">
        <f>Rawdata2[[#This Row],[Net Income]]/Rawdata2[[#This Row],[Revenue]]</f>
        <v>-8.6834931852599695</v>
      </c>
      <c r="T18">
        <v>6</v>
      </c>
      <c r="U18" t="str">
        <v>Indian</v>
      </c>
      <c r="Z18" s="1">
        <v>2019</v>
      </c>
      <c r="AA18" s="1" t="s">
        <v>37</v>
      </c>
      <c r="AB18" s="1">
        <v>39</v>
      </c>
      <c r="AC18" s="1">
        <v>34</v>
      </c>
      <c r="AD18" s="1">
        <v>27</v>
      </c>
      <c r="AF18" s="1" t="s">
        <v>9</v>
      </c>
      <c r="AG18" s="30" t="s">
        <v>54</v>
      </c>
      <c r="AH18" s="1" t="s">
        <v>40</v>
      </c>
      <c r="AI18" s="1" t="s">
        <v>64</v>
      </c>
    </row>
    <row r="19" spans="1:37" x14ac:dyDescent="0.3">
      <c r="A19" s="1" t="s">
        <v>26</v>
      </c>
      <c r="B19" s="1" t="s">
        <v>36</v>
      </c>
      <c r="C19" s="1" t="s">
        <v>49</v>
      </c>
      <c r="D19" s="1" t="s">
        <v>48</v>
      </c>
      <c r="E19" s="30">
        <v>4.3196032339318213</v>
      </c>
      <c r="F19" s="1">
        <v>431</v>
      </c>
      <c r="G19" s="34">
        <v>17750</v>
      </c>
      <c r="H19" s="38">
        <v>22321.333559351729</v>
      </c>
      <c r="I19" s="1">
        <v>6958</v>
      </c>
      <c r="J19" s="40">
        <f>Rawdata2[[#This Row],[Gross Order Value]]/Rawdata2[[#This Row],[Number of Orders]]</f>
        <v>3.2080099970324416</v>
      </c>
      <c r="K19" s="38">
        <v>45785</v>
      </c>
      <c r="L19" s="80">
        <f>Rawdata2[[#This Row],[Revenue]]-Rawdata2[[#This Row],[Expenses]]</f>
        <v>-28035</v>
      </c>
      <c r="M19" s="12">
        <f>Rawdata2[[#This Row],[Net Income]]/Rawdata2[[#This Row],[Revenue]]</f>
        <v>-1.5794366197183098</v>
      </c>
      <c r="Z19" s="1">
        <v>2019</v>
      </c>
      <c r="AA19" s="1" t="s">
        <v>38</v>
      </c>
      <c r="AB19" s="1">
        <v>41</v>
      </c>
      <c r="AC19" s="1">
        <v>35</v>
      </c>
      <c r="AD19" s="1">
        <v>24</v>
      </c>
      <c r="AF19" s="1">
        <f>'Business and Sales'!K2</f>
        <v>2020</v>
      </c>
      <c r="AG19" s="30" t="str">
        <f>'Business and Sales'!N2</f>
        <v>Q2</v>
      </c>
      <c r="AH19" s="1" t="str">
        <f>'Business and Sales'!N4</f>
        <v>Chinese</v>
      </c>
      <c r="AI19" s="30">
        <f>SUMIFS(Rawdata2[Average Order Value],Rawdata2[Financial Year],'Business and Sales'!$K$2,Rawdata2[Quarter],'Business and Sales'!$N$2,Rawdata2[Cuisine],'Business and Sales'!$N$4)</f>
        <v>0</v>
      </c>
    </row>
    <row r="20" spans="1:37" x14ac:dyDescent="0.3">
      <c r="A20" s="1">
        <v>2022</v>
      </c>
      <c r="B20" s="1" t="s">
        <v>36</v>
      </c>
      <c r="C20" s="1" t="s">
        <v>44</v>
      </c>
      <c r="D20" s="1" t="s">
        <v>0</v>
      </c>
      <c r="E20" s="30">
        <v>4.5858816262946434</v>
      </c>
      <c r="F20" s="1">
        <v>211</v>
      </c>
      <c r="G20" s="33">
        <v>44040</v>
      </c>
      <c r="H20" s="38">
        <v>1466.57284660594</v>
      </c>
      <c r="I20" s="1">
        <v>6366</v>
      </c>
      <c r="J20" s="40">
        <f>Rawdata2[[#This Row],[Gross Order Value]]/Rawdata2[[#This Row],[Number of Orders]]</f>
        <v>0.23037587914010996</v>
      </c>
      <c r="K20" s="38">
        <v>50297</v>
      </c>
      <c r="L20" s="80">
        <f>Rawdata2[[#This Row],[Revenue]]-Rawdata2[[#This Row],[Expenses]]</f>
        <v>-6257</v>
      </c>
      <c r="M20" s="12">
        <f>Rawdata2[[#This Row],[Net Income]]/Rawdata2[[#This Row],[Revenue]]</f>
        <v>-0.14207538601271572</v>
      </c>
      <c r="Z20" s="1">
        <v>2020</v>
      </c>
      <c r="AA20" s="1" t="s">
        <v>35</v>
      </c>
      <c r="AB20" s="1">
        <v>38</v>
      </c>
      <c r="AC20" s="1">
        <v>36</v>
      </c>
      <c r="AD20" s="1">
        <v>26</v>
      </c>
      <c r="AF20" s="1"/>
      <c r="AG20" s="36"/>
    </row>
    <row r="21" spans="1:37" x14ac:dyDescent="0.3">
      <c r="A21" s="1" t="s">
        <v>30</v>
      </c>
      <c r="B21" s="1" t="s">
        <v>36</v>
      </c>
      <c r="C21" s="1" t="s">
        <v>49</v>
      </c>
      <c r="D21" s="1" t="s">
        <v>46</v>
      </c>
      <c r="E21" s="30">
        <v>4.6541197212687342</v>
      </c>
      <c r="F21" s="1">
        <v>171</v>
      </c>
      <c r="G21" s="34">
        <v>16089</v>
      </c>
      <c r="H21" s="38">
        <v>19706.169338976251</v>
      </c>
      <c r="I21" s="1">
        <v>5378</v>
      </c>
      <c r="J21" s="40">
        <f>Rawdata2[[#This Row],[Gross Order Value]]/Rawdata2[[#This Row],[Number of Orders]]</f>
        <v>3.6642189176229549</v>
      </c>
      <c r="K21" s="38">
        <v>51346</v>
      </c>
      <c r="L21" s="80">
        <f>Rawdata2[[#This Row],[Revenue]]-Rawdata2[[#This Row],[Expenses]]</f>
        <v>-35257</v>
      </c>
      <c r="M21" s="12">
        <f>Rawdata2[[#This Row],[Net Income]]/Rawdata2[[#This Row],[Revenue]]</f>
        <v>-2.1913729877556096</v>
      </c>
      <c r="Z21" s="1">
        <v>2020</v>
      </c>
      <c r="AA21" s="1" t="s">
        <v>36</v>
      </c>
      <c r="AB21" s="1">
        <v>40</v>
      </c>
      <c r="AC21" s="1">
        <v>37</v>
      </c>
      <c r="AD21" s="1">
        <v>23</v>
      </c>
      <c r="AF21" s="26" t="s">
        <v>11</v>
      </c>
      <c r="AG21" s="26" t="s">
        <v>12</v>
      </c>
      <c r="AH21" s="26" t="s">
        <v>13</v>
      </c>
      <c r="AI21" s="26" t="s">
        <v>14</v>
      </c>
      <c r="AJ21" s="26" t="s">
        <v>15</v>
      </c>
      <c r="AK21" s="26" t="s">
        <v>16</v>
      </c>
    </row>
    <row r="22" spans="1:37" x14ac:dyDescent="0.3">
      <c r="A22" s="1">
        <v>2023</v>
      </c>
      <c r="B22" s="1" t="s">
        <v>36</v>
      </c>
      <c r="C22" s="1" t="s">
        <v>44</v>
      </c>
      <c r="D22" s="1" t="s">
        <v>41</v>
      </c>
      <c r="E22" s="30">
        <v>4.4557393815670743</v>
      </c>
      <c r="F22" s="1">
        <v>191</v>
      </c>
      <c r="G22" s="33">
        <v>39843</v>
      </c>
      <c r="H22" s="38">
        <v>22584.298560116211</v>
      </c>
      <c r="I22" s="1">
        <v>6958</v>
      </c>
      <c r="J22" s="40">
        <f>Rawdata2[[#This Row],[Gross Order Value]]/Rawdata2[[#This Row],[Number of Orders]]</f>
        <v>3.2458031848399269</v>
      </c>
      <c r="K22" s="38">
        <v>12252</v>
      </c>
      <c r="L22" s="80">
        <f>Rawdata2[[#This Row],[Revenue]]-Rawdata2[[#This Row],[Expenses]]</f>
        <v>27591</v>
      </c>
      <c r="M22" s="12">
        <f>Rawdata2[[#This Row],[Net Income]]/Rawdata2[[#This Row],[Revenue]]</f>
        <v>0.69249303516301486</v>
      </c>
      <c r="Z22" s="1">
        <v>2020</v>
      </c>
      <c r="AA22" s="1" t="s">
        <v>37</v>
      </c>
      <c r="AB22" s="1">
        <v>42</v>
      </c>
      <c r="AC22" s="1">
        <v>34</v>
      </c>
      <c r="AD22" s="1">
        <v>24</v>
      </c>
      <c r="AF22" s="27" cm="1">
        <f t="array" ref="AF22">Table12[AOV]</f>
        <v>0</v>
      </c>
      <c r="AG22" s="28">
        <v>100</v>
      </c>
      <c r="AH22" s="29">
        <v>0.1</v>
      </c>
      <c r="AI22" s="28">
        <f>AF22/AG22*180</f>
        <v>0</v>
      </c>
      <c r="AJ22" s="28">
        <v>0</v>
      </c>
      <c r="AK22" s="28">
        <v>0</v>
      </c>
    </row>
    <row r="23" spans="1:37" x14ac:dyDescent="0.3">
      <c r="A23" s="1" t="s">
        <v>30</v>
      </c>
      <c r="B23" s="1" t="s">
        <v>36</v>
      </c>
      <c r="C23" s="1" t="s">
        <v>45</v>
      </c>
      <c r="D23" s="1" t="s">
        <v>47</v>
      </c>
      <c r="E23" s="30">
        <v>4.4371919028102376</v>
      </c>
      <c r="F23" s="1">
        <v>183</v>
      </c>
      <c r="G23" s="34">
        <v>1678</v>
      </c>
      <c r="H23" s="38">
        <v>13212.79352545149</v>
      </c>
      <c r="I23" s="1">
        <v>4808</v>
      </c>
      <c r="J23" s="40">
        <f>Rawdata2[[#This Row],[Gross Order Value]]/Rawdata2[[#This Row],[Number of Orders]]</f>
        <v>2.7480851758426561</v>
      </c>
      <c r="K23" s="38">
        <v>27154</v>
      </c>
      <c r="L23" s="80">
        <f>Rawdata2[[#This Row],[Revenue]]-Rawdata2[[#This Row],[Expenses]]</f>
        <v>-25476</v>
      </c>
      <c r="M23" s="12">
        <f>Rawdata2[[#This Row],[Net Income]]/Rawdata2[[#This Row],[Revenue]]</f>
        <v>-15.182359952324196</v>
      </c>
      <c r="Z23" s="1">
        <v>2020</v>
      </c>
      <c r="AA23" s="1" t="s">
        <v>38</v>
      </c>
      <c r="AB23" s="1">
        <v>39</v>
      </c>
      <c r="AC23" s="1">
        <v>35</v>
      </c>
      <c r="AD23" s="1">
        <v>26</v>
      </c>
      <c r="AF23" s="28"/>
      <c r="AG23" s="28"/>
      <c r="AH23" s="29">
        <v>0.1</v>
      </c>
      <c r="AI23" s="28"/>
      <c r="AJ23" s="28">
        <f>-COS(RADIANS(AI22))</f>
        <v>-1</v>
      </c>
      <c r="AK23" s="28">
        <f>SIN(RADIANS(AI22))</f>
        <v>0</v>
      </c>
    </row>
    <row r="24" spans="1:37" x14ac:dyDescent="0.3">
      <c r="A24" s="1">
        <v>2023</v>
      </c>
      <c r="B24" s="1" t="s">
        <v>36</v>
      </c>
      <c r="C24" s="1" t="s">
        <v>45</v>
      </c>
      <c r="D24" s="1" t="s">
        <v>43</v>
      </c>
      <c r="E24" s="30">
        <v>4.602038158142352</v>
      </c>
      <c r="F24" s="1">
        <v>474</v>
      </c>
      <c r="G24" s="33">
        <v>1881</v>
      </c>
      <c r="H24" s="38">
        <v>10003.513959317381</v>
      </c>
      <c r="I24" s="1">
        <v>1151</v>
      </c>
      <c r="J24" s="40">
        <f>Rawdata2[[#This Row],[Gross Order Value]]/Rawdata2[[#This Row],[Number of Orders]]</f>
        <v>8.6911502687379496</v>
      </c>
      <c r="K24" s="38">
        <v>42018</v>
      </c>
      <c r="L24" s="80">
        <f>Rawdata2[[#This Row],[Revenue]]-Rawdata2[[#This Row],[Expenses]]</f>
        <v>-40137</v>
      </c>
      <c r="M24" s="12">
        <f>Rawdata2[[#This Row],[Net Income]]/Rawdata2[[#This Row],[Revenue]]</f>
        <v>-21.338118022328548</v>
      </c>
      <c r="Z24" s="1">
        <v>2021</v>
      </c>
      <c r="AA24" s="1" t="s">
        <v>35</v>
      </c>
      <c r="AB24" s="1">
        <v>41</v>
      </c>
      <c r="AC24" s="1">
        <v>33</v>
      </c>
      <c r="AD24" s="1">
        <v>26</v>
      </c>
      <c r="AF24" s="28"/>
      <c r="AG24" s="28"/>
      <c r="AH24" s="29">
        <v>0.1</v>
      </c>
      <c r="AI24" s="28"/>
      <c r="AJ24" s="28"/>
      <c r="AK24" s="28"/>
    </row>
    <row r="25" spans="1:37" x14ac:dyDescent="0.3">
      <c r="A25" s="1" t="s">
        <v>27</v>
      </c>
      <c r="B25" s="1" t="s">
        <v>36</v>
      </c>
      <c r="C25" s="1" t="s">
        <v>45</v>
      </c>
      <c r="D25" s="1" t="s">
        <v>46</v>
      </c>
      <c r="E25" s="30">
        <v>4.6113205322532309</v>
      </c>
      <c r="F25" s="1">
        <v>45</v>
      </c>
      <c r="G25" s="34">
        <v>9334</v>
      </c>
      <c r="H25" s="38">
        <v>6059.0687974733019</v>
      </c>
      <c r="I25" s="1">
        <v>1451</v>
      </c>
      <c r="J25" s="40">
        <f>Rawdata2[[#This Row],[Gross Order Value]]/Rawdata2[[#This Row],[Number of Orders]]</f>
        <v>4.1757882822007595</v>
      </c>
      <c r="K25" s="38">
        <v>14591</v>
      </c>
      <c r="L25" s="80">
        <f>Rawdata2[[#This Row],[Revenue]]-Rawdata2[[#This Row],[Expenses]]</f>
        <v>-5257</v>
      </c>
      <c r="M25" s="12">
        <f>Rawdata2[[#This Row],[Net Income]]/Rawdata2[[#This Row],[Revenue]]</f>
        <v>-0.56320977073066214</v>
      </c>
      <c r="Z25" s="1">
        <v>2021</v>
      </c>
      <c r="AA25" s="1" t="s">
        <v>36</v>
      </c>
      <c r="AB25" s="1">
        <v>40</v>
      </c>
      <c r="AC25" s="1">
        <v>34</v>
      </c>
      <c r="AD25" s="1">
        <v>26</v>
      </c>
      <c r="AH25" s="29">
        <v>0.1</v>
      </c>
    </row>
    <row r="26" spans="1:37" x14ac:dyDescent="0.3">
      <c r="A26" s="1" t="s">
        <v>28</v>
      </c>
      <c r="B26" s="1" t="s">
        <v>37</v>
      </c>
      <c r="C26" s="1" t="s">
        <v>42</v>
      </c>
      <c r="D26" s="1" t="s">
        <v>47</v>
      </c>
      <c r="E26" s="30">
        <v>4.4075399732208513</v>
      </c>
      <c r="F26" s="1">
        <v>53</v>
      </c>
      <c r="G26" s="33">
        <v>27060</v>
      </c>
      <c r="H26" s="38">
        <v>19819.52012920229</v>
      </c>
      <c r="I26" s="1">
        <v>8856</v>
      </c>
      <c r="J26" s="40">
        <f>Rawdata2[[#This Row],[Gross Order Value]]/Rawdata2[[#This Row],[Number of Orders]]</f>
        <v>2.2379765276877022</v>
      </c>
      <c r="K26" s="38">
        <v>12068</v>
      </c>
      <c r="L26" s="80">
        <f>Rawdata2[[#This Row],[Revenue]]-Rawdata2[[#This Row],[Expenses]]</f>
        <v>14992</v>
      </c>
      <c r="M26" s="12">
        <f>Rawdata2[[#This Row],[Net Income]]/Rawdata2[[#This Row],[Revenue]]</f>
        <v>0.55402808573540285</v>
      </c>
      <c r="Z26" s="1">
        <v>2021</v>
      </c>
      <c r="AA26" s="1" t="s">
        <v>37</v>
      </c>
      <c r="AB26" s="1">
        <v>42</v>
      </c>
      <c r="AC26" s="1">
        <v>35</v>
      </c>
      <c r="AD26" s="1">
        <v>23</v>
      </c>
      <c r="AH26" s="29">
        <v>0.1</v>
      </c>
    </row>
    <row r="27" spans="1:37" x14ac:dyDescent="0.3">
      <c r="A27" s="1" t="s">
        <v>30</v>
      </c>
      <c r="B27" s="1" t="s">
        <v>37</v>
      </c>
      <c r="C27" s="1" t="s">
        <v>42</v>
      </c>
      <c r="D27" s="1" t="s">
        <v>43</v>
      </c>
      <c r="E27" s="30">
        <v>4.3208778177922964</v>
      </c>
      <c r="F27" s="1">
        <v>347</v>
      </c>
      <c r="G27" s="34">
        <v>42701</v>
      </c>
      <c r="H27" s="38">
        <v>4706.5028316480348</v>
      </c>
      <c r="I27" s="1">
        <v>1280</v>
      </c>
      <c r="J27" s="40">
        <f>Rawdata2[[#This Row],[Gross Order Value]]/Rawdata2[[#This Row],[Number of Orders]]</f>
        <v>3.676955337225027</v>
      </c>
      <c r="K27" s="38">
        <v>35380</v>
      </c>
      <c r="L27" s="80">
        <f>Rawdata2[[#This Row],[Revenue]]-Rawdata2[[#This Row],[Expenses]]</f>
        <v>7321</v>
      </c>
      <c r="M27" s="12">
        <f>Rawdata2[[#This Row],[Net Income]]/Rawdata2[[#This Row],[Revenue]]</f>
        <v>0.17144797545724924</v>
      </c>
      <c r="Z27" s="1">
        <v>2021</v>
      </c>
      <c r="AA27" s="1" t="s">
        <v>38</v>
      </c>
      <c r="AB27" s="1">
        <v>39</v>
      </c>
      <c r="AC27" s="1">
        <v>34</v>
      </c>
      <c r="AD27" s="1">
        <v>27</v>
      </c>
      <c r="AH27" s="29">
        <v>0.5</v>
      </c>
    </row>
    <row r="28" spans="1:37" x14ac:dyDescent="0.3">
      <c r="A28" s="1" t="s">
        <v>27</v>
      </c>
      <c r="B28" s="1" t="s">
        <v>37</v>
      </c>
      <c r="C28" s="1" t="s">
        <v>42</v>
      </c>
      <c r="D28" s="1" t="s">
        <v>41</v>
      </c>
      <c r="E28" s="30">
        <v>4.829169742328693</v>
      </c>
      <c r="F28" s="1">
        <v>496</v>
      </c>
      <c r="G28" s="33">
        <v>2240</v>
      </c>
      <c r="H28" s="38">
        <v>21246.184165636321</v>
      </c>
      <c r="I28" s="1">
        <v>2149</v>
      </c>
      <c r="J28" s="40">
        <f>Rawdata2[[#This Row],[Gross Order Value]]/Rawdata2[[#This Row],[Number of Orders]]</f>
        <v>9.8865445163500798</v>
      </c>
      <c r="K28" s="38">
        <v>33529</v>
      </c>
      <c r="L28" s="80">
        <f>Rawdata2[[#This Row],[Revenue]]-Rawdata2[[#This Row],[Expenses]]</f>
        <v>-31289</v>
      </c>
      <c r="M28" s="12">
        <f>Rawdata2[[#This Row],[Net Income]]/Rawdata2[[#This Row],[Revenue]]</f>
        <v>-13.968303571428571</v>
      </c>
      <c r="Z28" s="1">
        <v>2022</v>
      </c>
      <c r="AA28" s="1" t="s">
        <v>35</v>
      </c>
      <c r="AB28" s="1">
        <v>38</v>
      </c>
      <c r="AC28" s="1">
        <v>36</v>
      </c>
      <c r="AD28" s="1">
        <v>26</v>
      </c>
    </row>
    <row r="29" spans="1:37" x14ac:dyDescent="0.3">
      <c r="A29" s="1" t="s">
        <v>28</v>
      </c>
      <c r="B29" s="1" t="s">
        <v>37</v>
      </c>
      <c r="C29" s="1" t="s">
        <v>49</v>
      </c>
      <c r="D29" s="1" t="s">
        <v>0</v>
      </c>
      <c r="E29" s="30">
        <v>4.8505314237883503</v>
      </c>
      <c r="F29" s="1">
        <v>240</v>
      </c>
      <c r="G29" s="34">
        <v>45</v>
      </c>
      <c r="H29" s="38">
        <v>14059.024248511319</v>
      </c>
      <c r="I29" s="1">
        <v>5610</v>
      </c>
      <c r="J29" s="40">
        <f>Rawdata2[[#This Row],[Gross Order Value]]/Rawdata2[[#This Row],[Number of Orders]]</f>
        <v>2.5060649284333905</v>
      </c>
      <c r="K29" s="38">
        <v>17970</v>
      </c>
      <c r="L29" s="80">
        <f>Rawdata2[[#This Row],[Revenue]]-Rawdata2[[#This Row],[Expenses]]</f>
        <v>-17925</v>
      </c>
      <c r="M29" s="12">
        <f>Rawdata2[[#This Row],[Net Income]]/Rawdata2[[#This Row],[Revenue]]</f>
        <v>-398.33333333333331</v>
      </c>
      <c r="Z29" s="1">
        <v>2022</v>
      </c>
      <c r="AA29" s="1" t="s">
        <v>36</v>
      </c>
      <c r="AB29" s="1">
        <v>41</v>
      </c>
      <c r="AC29" s="1">
        <v>35</v>
      </c>
      <c r="AD29" s="1">
        <v>24</v>
      </c>
    </row>
    <row r="30" spans="1:37" x14ac:dyDescent="0.3">
      <c r="A30" s="1">
        <v>2023</v>
      </c>
      <c r="B30" s="1" t="s">
        <v>37</v>
      </c>
      <c r="C30" s="1" t="s">
        <v>49</v>
      </c>
      <c r="D30" s="1" t="s">
        <v>46</v>
      </c>
      <c r="E30" s="30">
        <v>4.3599519558747497</v>
      </c>
      <c r="F30" s="1">
        <v>480</v>
      </c>
      <c r="G30" s="33">
        <v>7180</v>
      </c>
      <c r="H30" s="38">
        <v>6385.5655766908603</v>
      </c>
      <c r="I30" s="1">
        <v>995</v>
      </c>
      <c r="J30" s="40">
        <f>Rawdata2[[#This Row],[Gross Order Value]]/Rawdata2[[#This Row],[Number of Orders]]</f>
        <v>6.4176538459204631</v>
      </c>
      <c r="K30" s="38">
        <v>6614</v>
      </c>
      <c r="L30" s="80">
        <f>Rawdata2[[#This Row],[Revenue]]-Rawdata2[[#This Row],[Expenses]]</f>
        <v>566</v>
      </c>
      <c r="M30" s="12">
        <f>Rawdata2[[#This Row],[Net Income]]/Rawdata2[[#This Row],[Revenue]]</f>
        <v>7.8830083565459605E-2</v>
      </c>
      <c r="Z30" s="1">
        <v>2022</v>
      </c>
      <c r="AA30" s="1" t="s">
        <v>37</v>
      </c>
      <c r="AB30" s="1">
        <v>40</v>
      </c>
      <c r="AC30" s="1">
        <v>33</v>
      </c>
      <c r="AD30" s="1">
        <v>27</v>
      </c>
    </row>
    <row r="31" spans="1:37" x14ac:dyDescent="0.3">
      <c r="A31" s="1" t="s">
        <v>29</v>
      </c>
      <c r="B31" s="1" t="s">
        <v>37</v>
      </c>
      <c r="C31" s="1" t="s">
        <v>49</v>
      </c>
      <c r="D31" s="1" t="s">
        <v>48</v>
      </c>
      <c r="E31" s="30">
        <v>4.3897881800253238</v>
      </c>
      <c r="F31" s="1">
        <v>185</v>
      </c>
      <c r="G31" s="34">
        <v>24323</v>
      </c>
      <c r="H31" s="38">
        <v>10095.830300530821</v>
      </c>
      <c r="I31" s="1">
        <v>5188</v>
      </c>
      <c r="J31" s="40">
        <f>Rawdata2[[#This Row],[Gross Order Value]]/Rawdata2[[#This Row],[Number of Orders]]</f>
        <v>1.9459965883829646</v>
      </c>
      <c r="K31" s="38">
        <v>13239</v>
      </c>
      <c r="L31" s="80">
        <f>Rawdata2[[#This Row],[Revenue]]-Rawdata2[[#This Row],[Expenses]]</f>
        <v>11084</v>
      </c>
      <c r="M31" s="12">
        <f>Rawdata2[[#This Row],[Net Income]]/Rawdata2[[#This Row],[Revenue]]</f>
        <v>0.45570036590881058</v>
      </c>
      <c r="Z31" s="1">
        <v>2022</v>
      </c>
      <c r="AA31" s="1" t="s">
        <v>38</v>
      </c>
      <c r="AB31" s="1">
        <v>42</v>
      </c>
      <c r="AC31" s="1">
        <v>34</v>
      </c>
      <c r="AD31" s="1">
        <v>24</v>
      </c>
    </row>
    <row r="32" spans="1:37" x14ac:dyDescent="0.3">
      <c r="A32" s="1" t="s">
        <v>29</v>
      </c>
      <c r="B32" s="1" t="s">
        <v>37</v>
      </c>
      <c r="C32" s="1" t="s">
        <v>44</v>
      </c>
      <c r="D32" s="1" t="s">
        <v>47</v>
      </c>
      <c r="E32" s="30">
        <v>4.8325625567664785</v>
      </c>
      <c r="F32" s="1">
        <v>154</v>
      </c>
      <c r="G32" s="33">
        <v>31320</v>
      </c>
      <c r="H32" s="38">
        <v>2088.4383602616849</v>
      </c>
      <c r="I32" s="1">
        <v>3617</v>
      </c>
      <c r="J32" s="40">
        <f>Rawdata2[[#This Row],[Gross Order Value]]/Rawdata2[[#This Row],[Number of Orders]]</f>
        <v>0.577395178396927</v>
      </c>
      <c r="K32" s="38">
        <v>24692</v>
      </c>
      <c r="L32" s="80">
        <f>Rawdata2[[#This Row],[Revenue]]-Rawdata2[[#This Row],[Expenses]]</f>
        <v>6628</v>
      </c>
      <c r="M32" s="12">
        <f>Rawdata2[[#This Row],[Net Income]]/Rawdata2[[#This Row],[Revenue]]</f>
        <v>0.21162196679438058</v>
      </c>
      <c r="Z32" s="1">
        <v>2023</v>
      </c>
      <c r="AA32" s="1" t="s">
        <v>35</v>
      </c>
      <c r="AB32" s="1">
        <v>39</v>
      </c>
      <c r="AC32" s="1">
        <v>35</v>
      </c>
      <c r="AD32" s="1">
        <v>26</v>
      </c>
    </row>
    <row r="33" spans="1:30" x14ac:dyDescent="0.3">
      <c r="A33" s="1" t="s">
        <v>28</v>
      </c>
      <c r="B33" s="1" t="s">
        <v>37</v>
      </c>
      <c r="C33" s="1" t="s">
        <v>44</v>
      </c>
      <c r="D33" s="1" t="s">
        <v>43</v>
      </c>
      <c r="E33" s="30">
        <v>4.3415246991955332</v>
      </c>
      <c r="F33" s="1">
        <v>322</v>
      </c>
      <c r="G33" s="34">
        <v>2177</v>
      </c>
      <c r="H33" s="38">
        <v>21930.198616004451</v>
      </c>
      <c r="I33" s="1">
        <v>8013</v>
      </c>
      <c r="J33" s="40">
        <f>Rawdata2[[#This Row],[Gross Order Value]]/Rawdata2[[#This Row],[Number of Orders]]</f>
        <v>2.7368274823417509</v>
      </c>
      <c r="K33" s="38">
        <v>10526</v>
      </c>
      <c r="L33" s="80">
        <f>Rawdata2[[#This Row],[Revenue]]-Rawdata2[[#This Row],[Expenses]]</f>
        <v>-8349</v>
      </c>
      <c r="M33" s="12">
        <f>Rawdata2[[#This Row],[Net Income]]/Rawdata2[[#This Row],[Revenue]]</f>
        <v>-3.8350941662838771</v>
      </c>
      <c r="Z33" s="1">
        <v>2023</v>
      </c>
      <c r="AA33" s="1" t="s">
        <v>36</v>
      </c>
      <c r="AB33" s="1">
        <v>40</v>
      </c>
      <c r="AC33" s="1">
        <v>34</v>
      </c>
      <c r="AD33" s="1">
        <v>26</v>
      </c>
    </row>
    <row r="34" spans="1:30" x14ac:dyDescent="0.3">
      <c r="A34" s="1" t="s">
        <v>28</v>
      </c>
      <c r="B34" s="1" t="s">
        <v>37</v>
      </c>
      <c r="C34" s="1" t="s">
        <v>45</v>
      </c>
      <c r="D34" s="1" t="s">
        <v>41</v>
      </c>
      <c r="E34" s="30">
        <v>4.5833715109612596</v>
      </c>
      <c r="F34" s="1">
        <v>132</v>
      </c>
      <c r="G34" s="33">
        <v>844</v>
      </c>
      <c r="H34" s="38">
        <v>6237.7634276119161</v>
      </c>
      <c r="I34" s="1">
        <v>2746</v>
      </c>
      <c r="J34" s="40">
        <f>Rawdata2[[#This Row],[Gross Order Value]]/Rawdata2[[#This Row],[Number of Orders]]</f>
        <v>2.2715817289191245</v>
      </c>
      <c r="K34" s="38">
        <v>33143</v>
      </c>
      <c r="L34" s="80">
        <f>Rawdata2[[#This Row],[Revenue]]-Rawdata2[[#This Row],[Expenses]]</f>
        <v>-32299</v>
      </c>
      <c r="M34" s="12">
        <f>Rawdata2[[#This Row],[Net Income]]/Rawdata2[[#This Row],[Revenue]]</f>
        <v>-38.268957345971565</v>
      </c>
      <c r="Z34" s="1">
        <v>2023</v>
      </c>
      <c r="AA34" s="1" t="s">
        <v>37</v>
      </c>
      <c r="AB34" s="1">
        <v>41</v>
      </c>
      <c r="AC34" s="1">
        <v>33</v>
      </c>
      <c r="AD34" s="1">
        <v>26</v>
      </c>
    </row>
    <row r="35" spans="1:30" x14ac:dyDescent="0.3">
      <c r="A35" s="1" t="s">
        <v>27</v>
      </c>
      <c r="B35" s="1" t="s">
        <v>37</v>
      </c>
      <c r="C35" s="1" t="s">
        <v>45</v>
      </c>
      <c r="D35" s="1" t="s">
        <v>0</v>
      </c>
      <c r="E35" s="30">
        <v>4.6601965005474124</v>
      </c>
      <c r="F35" s="1">
        <v>430</v>
      </c>
      <c r="G35" s="34">
        <v>35630</v>
      </c>
      <c r="H35" s="38">
        <v>1375.8356644136841</v>
      </c>
      <c r="I35" s="1">
        <v>5522</v>
      </c>
      <c r="J35" s="40">
        <f>Rawdata2[[#This Row],[Gross Order Value]]/Rawdata2[[#This Row],[Number of Orders]]</f>
        <v>0.2491553177134524</v>
      </c>
      <c r="K35" s="38">
        <v>9850</v>
      </c>
      <c r="L35" s="80">
        <f>Rawdata2[[#This Row],[Revenue]]-Rawdata2[[#This Row],[Expenses]]</f>
        <v>25780</v>
      </c>
      <c r="M35" s="12">
        <f>Rawdata2[[#This Row],[Net Income]]/Rawdata2[[#This Row],[Revenue]]</f>
        <v>0.72354757227055855</v>
      </c>
      <c r="Z35" s="1">
        <v>2023</v>
      </c>
      <c r="AA35" s="1" t="s">
        <v>38</v>
      </c>
      <c r="AB35" s="1">
        <v>42</v>
      </c>
      <c r="AC35" s="1">
        <v>35</v>
      </c>
      <c r="AD35" s="1">
        <v>23</v>
      </c>
    </row>
    <row r="36" spans="1:30" x14ac:dyDescent="0.3">
      <c r="A36" s="1" t="s">
        <v>29</v>
      </c>
      <c r="B36" s="1" t="s">
        <v>37</v>
      </c>
      <c r="C36" s="1" t="s">
        <v>45</v>
      </c>
      <c r="D36" s="1" t="s">
        <v>46</v>
      </c>
      <c r="E36" s="30">
        <v>4.501283840687563</v>
      </c>
      <c r="F36" s="1">
        <v>37</v>
      </c>
      <c r="G36" s="33">
        <v>19441</v>
      </c>
      <c r="H36" s="38">
        <v>18104.017293995032</v>
      </c>
      <c r="I36" s="1">
        <v>9446</v>
      </c>
      <c r="J36" s="40">
        <f>Rawdata2[[#This Row],[Gross Order Value]]/Rawdata2[[#This Row],[Number of Orders]]</f>
        <v>1.9165802767303655</v>
      </c>
      <c r="K36" s="38">
        <v>39287</v>
      </c>
      <c r="L36" s="80">
        <f>Rawdata2[[#This Row],[Revenue]]-Rawdata2[[#This Row],[Expenses]]</f>
        <v>-19846</v>
      </c>
      <c r="M36" s="12">
        <f>Rawdata2[[#This Row],[Net Income]]/Rawdata2[[#This Row],[Revenue]]</f>
        <v>-1.0208322617149324</v>
      </c>
    </row>
    <row r="37" spans="1:30" x14ac:dyDescent="0.3">
      <c r="A37" s="1" t="s">
        <v>30</v>
      </c>
      <c r="B37" s="1" t="s">
        <v>37</v>
      </c>
      <c r="C37" s="1" t="s">
        <v>44</v>
      </c>
      <c r="D37" s="1" t="s">
        <v>48</v>
      </c>
      <c r="E37" s="30">
        <v>4.853767538175199</v>
      </c>
      <c r="F37" s="1">
        <v>436</v>
      </c>
      <c r="G37" s="34">
        <v>17955</v>
      </c>
      <c r="H37" s="38">
        <v>854.53071682019333</v>
      </c>
      <c r="I37" s="1">
        <v>6470</v>
      </c>
      <c r="J37" s="40">
        <f>Rawdata2[[#This Row],[Gross Order Value]]/Rawdata2[[#This Row],[Number of Orders]]</f>
        <v>0.13207584494902525</v>
      </c>
      <c r="K37" s="38">
        <v>26348</v>
      </c>
      <c r="L37" s="80">
        <f>Rawdata2[[#This Row],[Revenue]]-Rawdata2[[#This Row],[Expenses]]</f>
        <v>-8393</v>
      </c>
      <c r="M37" s="12">
        <f>Rawdata2[[#This Row],[Net Income]]/Rawdata2[[#This Row],[Revenue]]</f>
        <v>-0.46744639376218322</v>
      </c>
    </row>
    <row r="38" spans="1:30" x14ac:dyDescent="0.3">
      <c r="A38" s="1" t="s">
        <v>29</v>
      </c>
      <c r="B38" s="1" t="s">
        <v>38</v>
      </c>
      <c r="C38" s="1" t="s">
        <v>42</v>
      </c>
      <c r="D38" s="1" t="s">
        <v>48</v>
      </c>
      <c r="E38" s="30">
        <v>4.7060329812768291</v>
      </c>
      <c r="F38" s="1">
        <v>254</v>
      </c>
      <c r="G38" s="33">
        <v>47012</v>
      </c>
      <c r="H38" s="38">
        <v>13222.362018684151</v>
      </c>
      <c r="I38" s="1">
        <v>6508</v>
      </c>
      <c r="J38" s="40">
        <f>Rawdata2[[#This Row],[Gross Order Value]]/Rawdata2[[#This Row],[Number of Orders]]</f>
        <v>2.0317089764419407</v>
      </c>
      <c r="K38" s="38">
        <v>17710</v>
      </c>
      <c r="L38" s="80">
        <f>Rawdata2[[#This Row],[Revenue]]-Rawdata2[[#This Row],[Expenses]]</f>
        <v>29302</v>
      </c>
      <c r="M38" s="12">
        <f>Rawdata2[[#This Row],[Net Income]]/Rawdata2[[#This Row],[Revenue]]</f>
        <v>0.62328767123287676</v>
      </c>
    </row>
    <row r="39" spans="1:30" x14ac:dyDescent="0.3">
      <c r="A39" s="1" t="s">
        <v>28</v>
      </c>
      <c r="B39" s="1" t="s">
        <v>38</v>
      </c>
      <c r="C39" s="1" t="s">
        <v>42</v>
      </c>
      <c r="D39" s="1" t="s">
        <v>0</v>
      </c>
      <c r="E39" s="30">
        <v>4.6766222663418384</v>
      </c>
      <c r="F39" s="1">
        <v>432</v>
      </c>
      <c r="G39" s="34">
        <v>19395</v>
      </c>
      <c r="H39" s="38">
        <v>20930.956711295399</v>
      </c>
      <c r="I39" s="1">
        <v>9050</v>
      </c>
      <c r="J39" s="40">
        <f>Rawdata2[[#This Row],[Gross Order Value]]/Rawdata2[[#This Row],[Number of Orders]]</f>
        <v>2.3128128962757346</v>
      </c>
      <c r="K39" s="38">
        <v>45327</v>
      </c>
      <c r="L39" s="80">
        <f>Rawdata2[[#This Row],[Revenue]]-Rawdata2[[#This Row],[Expenses]]</f>
        <v>-25932</v>
      </c>
      <c r="M39" s="12">
        <f>Rawdata2[[#This Row],[Net Income]]/Rawdata2[[#This Row],[Revenue]]</f>
        <v>-1.3370456303170921</v>
      </c>
    </row>
    <row r="40" spans="1:30" x14ac:dyDescent="0.3">
      <c r="A40" s="1" t="s">
        <v>26</v>
      </c>
      <c r="B40" s="1" t="s">
        <v>38</v>
      </c>
      <c r="C40" s="1" t="s">
        <v>42</v>
      </c>
      <c r="D40" s="1" t="s">
        <v>46</v>
      </c>
      <c r="E40" s="30">
        <v>4.6645283555520987</v>
      </c>
      <c r="F40" s="1">
        <v>112</v>
      </c>
      <c r="G40" s="33">
        <v>42113</v>
      </c>
      <c r="H40" s="38">
        <v>3928.0149420613552</v>
      </c>
      <c r="I40" s="1">
        <v>204</v>
      </c>
      <c r="J40" s="40">
        <f>Rawdata2[[#This Row],[Gross Order Value]]/Rawdata2[[#This Row],[Number of Orders]]</f>
        <v>19.254975206183115</v>
      </c>
      <c r="K40" s="38">
        <v>12838</v>
      </c>
      <c r="L40" s="80">
        <f>Rawdata2[[#This Row],[Revenue]]-Rawdata2[[#This Row],[Expenses]]</f>
        <v>29275</v>
      </c>
      <c r="M40" s="12">
        <f>Rawdata2[[#This Row],[Net Income]]/Rawdata2[[#This Row],[Revenue]]</f>
        <v>0.69515351554151927</v>
      </c>
    </row>
    <row r="41" spans="1:30" x14ac:dyDescent="0.3">
      <c r="A41" s="1" t="s">
        <v>28</v>
      </c>
      <c r="B41" s="1" t="s">
        <v>38</v>
      </c>
      <c r="C41" s="1" t="s">
        <v>49</v>
      </c>
      <c r="D41" s="1" t="s">
        <v>41</v>
      </c>
      <c r="E41" s="30">
        <v>4.3093348135520779</v>
      </c>
      <c r="F41" s="1">
        <v>23</v>
      </c>
      <c r="G41" s="34">
        <v>46861</v>
      </c>
      <c r="H41" s="38">
        <v>9711.017786196262</v>
      </c>
      <c r="I41" s="1">
        <v>2941</v>
      </c>
      <c r="J41" s="40">
        <f>Rawdata2[[#This Row],[Gross Order Value]]/Rawdata2[[#This Row],[Number of Orders]]</f>
        <v>3.3019441639565663</v>
      </c>
      <c r="K41" s="38">
        <v>26086</v>
      </c>
      <c r="L41" s="80">
        <f>Rawdata2[[#This Row],[Revenue]]-Rawdata2[[#This Row],[Expenses]]</f>
        <v>20775</v>
      </c>
      <c r="M41" s="12">
        <f>Rawdata2[[#This Row],[Net Income]]/Rawdata2[[#This Row],[Revenue]]</f>
        <v>0.44333240861270568</v>
      </c>
    </row>
    <row r="42" spans="1:30" x14ac:dyDescent="0.3">
      <c r="A42" s="1" t="s">
        <v>28</v>
      </c>
      <c r="B42" s="1" t="s">
        <v>38</v>
      </c>
      <c r="C42" s="1" t="s">
        <v>49</v>
      </c>
      <c r="D42" s="1" t="s">
        <v>43</v>
      </c>
      <c r="E42" s="30">
        <v>4.5085649285702756</v>
      </c>
      <c r="F42" s="1">
        <v>379</v>
      </c>
      <c r="G42" s="33">
        <v>2290</v>
      </c>
      <c r="H42" s="38">
        <v>23267.375966302319</v>
      </c>
      <c r="I42" s="1">
        <v>7080</v>
      </c>
      <c r="J42" s="40">
        <f>Rawdata2[[#This Row],[Gross Order Value]]/Rawdata2[[#This Row],[Number of Orders]]</f>
        <v>3.2863525376133218</v>
      </c>
      <c r="K42" s="38">
        <v>52764</v>
      </c>
      <c r="L42" s="80">
        <f>Rawdata2[[#This Row],[Revenue]]-Rawdata2[[#This Row],[Expenses]]</f>
        <v>-50474</v>
      </c>
      <c r="M42" s="12">
        <f>Rawdata2[[#This Row],[Net Income]]/Rawdata2[[#This Row],[Revenue]]</f>
        <v>-22.041048034934498</v>
      </c>
    </row>
    <row r="43" spans="1:30" x14ac:dyDescent="0.3">
      <c r="A43" s="1" t="s">
        <v>28</v>
      </c>
      <c r="B43" s="1" t="s">
        <v>38</v>
      </c>
      <c r="C43" s="1" t="s">
        <v>49</v>
      </c>
      <c r="D43" s="1" t="s">
        <v>47</v>
      </c>
      <c r="E43" s="30">
        <v>4.8012281175219114</v>
      </c>
      <c r="F43" s="1">
        <v>77</v>
      </c>
      <c r="G43" s="34">
        <v>27212</v>
      </c>
      <c r="H43" s="38">
        <v>4596.2984364080748</v>
      </c>
      <c r="I43" s="1">
        <v>7878</v>
      </c>
      <c r="J43" s="40">
        <f>Rawdata2[[#This Row],[Gross Order Value]]/Rawdata2[[#This Row],[Number of Orders]]</f>
        <v>0.58343468347398764</v>
      </c>
      <c r="K43" s="38">
        <v>10563</v>
      </c>
      <c r="L43" s="80">
        <f>Rawdata2[[#This Row],[Revenue]]-Rawdata2[[#This Row],[Expenses]]</f>
        <v>16649</v>
      </c>
      <c r="M43" s="12">
        <f>Rawdata2[[#This Row],[Net Income]]/Rawdata2[[#This Row],[Revenue]]</f>
        <v>0.61182566514772896</v>
      </c>
    </row>
    <row r="44" spans="1:30" x14ac:dyDescent="0.3">
      <c r="A44" s="1" t="s">
        <v>30</v>
      </c>
      <c r="B44" s="1" t="s">
        <v>38</v>
      </c>
      <c r="C44" s="1" t="s">
        <v>44</v>
      </c>
      <c r="D44" s="1" t="s">
        <v>48</v>
      </c>
      <c r="E44" s="30">
        <v>4.4569429930713103</v>
      </c>
      <c r="F44" s="1">
        <v>339</v>
      </c>
      <c r="G44" s="33">
        <v>15162</v>
      </c>
      <c r="H44" s="38">
        <v>18979.917159362791</v>
      </c>
      <c r="I44" s="1">
        <v>4821</v>
      </c>
      <c r="J44" s="40">
        <f>Rawdata2[[#This Row],[Gross Order Value]]/Rawdata2[[#This Row],[Number of Orders]]</f>
        <v>3.936925359751668</v>
      </c>
      <c r="K44" s="38">
        <v>38726</v>
      </c>
      <c r="L44" s="80">
        <f>Rawdata2[[#This Row],[Revenue]]-Rawdata2[[#This Row],[Expenses]]</f>
        <v>-23564</v>
      </c>
      <c r="M44" s="12">
        <f>Rawdata2[[#This Row],[Net Income]]/Rawdata2[[#This Row],[Revenue]]</f>
        <v>-1.5541485292177812</v>
      </c>
    </row>
    <row r="45" spans="1:30" x14ac:dyDescent="0.3">
      <c r="A45" s="1" t="s">
        <v>27</v>
      </c>
      <c r="B45" s="1" t="s">
        <v>38</v>
      </c>
      <c r="C45" s="1" t="s">
        <v>44</v>
      </c>
      <c r="D45" s="1" t="s">
        <v>0</v>
      </c>
      <c r="E45" s="30">
        <v>4.6152613617358709</v>
      </c>
      <c r="F45" s="1">
        <v>334</v>
      </c>
      <c r="G45" s="34">
        <v>38424</v>
      </c>
      <c r="H45" s="38">
        <v>6192.2208751384451</v>
      </c>
      <c r="I45" s="1">
        <v>4004</v>
      </c>
      <c r="J45" s="40">
        <f>Rawdata2[[#This Row],[Gross Order Value]]/Rawdata2[[#This Row],[Number of Orders]]</f>
        <v>1.5465087100745367</v>
      </c>
      <c r="K45" s="38">
        <v>27191</v>
      </c>
      <c r="L45" s="80">
        <f>Rawdata2[[#This Row],[Revenue]]-Rawdata2[[#This Row],[Expenses]]</f>
        <v>11233</v>
      </c>
      <c r="M45" s="12">
        <f>Rawdata2[[#This Row],[Net Income]]/Rawdata2[[#This Row],[Revenue]]</f>
        <v>0.29234332708723715</v>
      </c>
    </row>
    <row r="46" spans="1:30" x14ac:dyDescent="0.3">
      <c r="A46" s="1" t="s">
        <v>26</v>
      </c>
      <c r="B46" s="1" t="s">
        <v>38</v>
      </c>
      <c r="C46" s="1" t="s">
        <v>44</v>
      </c>
      <c r="D46" s="1" t="s">
        <v>46</v>
      </c>
      <c r="E46" s="30">
        <v>4.5756741871838553</v>
      </c>
      <c r="F46" s="1">
        <v>413</v>
      </c>
      <c r="G46" s="33">
        <v>23121</v>
      </c>
      <c r="H46" s="38">
        <v>10241.000798110839</v>
      </c>
      <c r="I46" s="1">
        <v>7055</v>
      </c>
      <c r="J46" s="40">
        <f>Rawdata2[[#This Row],[Gross Order Value]]/Rawdata2[[#This Row],[Number of Orders]]</f>
        <v>1.4515947268760934</v>
      </c>
      <c r="K46" s="38">
        <v>33221</v>
      </c>
      <c r="L46" s="80">
        <f>Rawdata2[[#This Row],[Revenue]]-Rawdata2[[#This Row],[Expenses]]</f>
        <v>-10100</v>
      </c>
      <c r="M46" s="12">
        <f>Rawdata2[[#This Row],[Net Income]]/Rawdata2[[#This Row],[Revenue]]</f>
        <v>-0.43683231694130875</v>
      </c>
    </row>
    <row r="47" spans="1:30" x14ac:dyDescent="0.3">
      <c r="A47" s="1">
        <v>2023</v>
      </c>
      <c r="B47" s="1" t="s">
        <v>38</v>
      </c>
      <c r="C47" s="1" t="s">
        <v>45</v>
      </c>
      <c r="D47" s="1" t="s">
        <v>41</v>
      </c>
      <c r="E47" s="30">
        <v>4.3773667169028121</v>
      </c>
      <c r="F47" s="1">
        <v>349</v>
      </c>
      <c r="G47" s="34">
        <v>1409</v>
      </c>
      <c r="H47" s="38">
        <v>10717.853287701289</v>
      </c>
      <c r="I47" s="1">
        <v>1485</v>
      </c>
      <c r="J47" s="40">
        <f>Rawdata2[[#This Row],[Gross Order Value]]/Rawdata2[[#This Row],[Number of Orders]]</f>
        <v>7.2174096213476693</v>
      </c>
      <c r="K47" s="38">
        <v>20857</v>
      </c>
      <c r="L47" s="80">
        <f>Rawdata2[[#This Row],[Revenue]]-Rawdata2[[#This Row],[Expenses]]</f>
        <v>-19448</v>
      </c>
      <c r="M47" s="12">
        <f>Rawdata2[[#This Row],[Net Income]]/Rawdata2[[#This Row],[Revenue]]</f>
        <v>-13.802696948190206</v>
      </c>
    </row>
    <row r="48" spans="1:30" x14ac:dyDescent="0.3">
      <c r="A48" s="1" t="s">
        <v>28</v>
      </c>
      <c r="B48" s="1" t="s">
        <v>38</v>
      </c>
      <c r="C48" s="1" t="s">
        <v>45</v>
      </c>
      <c r="D48" s="1" t="s">
        <v>43</v>
      </c>
      <c r="E48" s="30">
        <v>4.3470023665903605</v>
      </c>
      <c r="F48" s="1">
        <v>56</v>
      </c>
      <c r="G48" s="33">
        <v>35041</v>
      </c>
      <c r="H48" s="38">
        <v>8941.7667457029456</v>
      </c>
      <c r="I48" s="1">
        <v>6391</v>
      </c>
      <c r="J48" s="40">
        <f>Rawdata2[[#This Row],[Gross Order Value]]/Rawdata2[[#This Row],[Number of Orders]]</f>
        <v>1.3991185644974098</v>
      </c>
      <c r="K48" s="38">
        <v>46709</v>
      </c>
      <c r="L48" s="80">
        <f>Rawdata2[[#This Row],[Revenue]]-Rawdata2[[#This Row],[Expenses]]</f>
        <v>-11668</v>
      </c>
      <c r="M48" s="12">
        <f>Rawdata2[[#This Row],[Net Income]]/Rawdata2[[#This Row],[Revenue]]</f>
        <v>-0.33298136468708084</v>
      </c>
    </row>
    <row r="49" spans="1:13" x14ac:dyDescent="0.3">
      <c r="A49" s="1" t="s">
        <v>27</v>
      </c>
      <c r="B49" s="1" t="s">
        <v>38</v>
      </c>
      <c r="C49" s="1" t="s">
        <v>45</v>
      </c>
      <c r="D49" s="1" t="s">
        <v>47</v>
      </c>
      <c r="E49" s="30">
        <v>4.4696795665680531</v>
      </c>
      <c r="F49" s="1">
        <v>463</v>
      </c>
      <c r="G49" s="34">
        <v>13491</v>
      </c>
      <c r="H49" s="38">
        <v>18326.03691096621</v>
      </c>
      <c r="I49" s="1">
        <v>9960</v>
      </c>
      <c r="J49" s="40">
        <f>Rawdata2[[#This Row],[Gross Order Value]]/Rawdata2[[#This Row],[Number of Orders]]</f>
        <v>1.8399635452777319</v>
      </c>
      <c r="K49" s="38">
        <v>3071</v>
      </c>
      <c r="L49" s="80">
        <f>Rawdata2[[#This Row],[Revenue]]-Rawdata2[[#This Row],[Expenses]]</f>
        <v>10420</v>
      </c>
      <c r="M49" s="12">
        <f>Rawdata2[[#This Row],[Net Income]]/Rawdata2[[#This Row],[Revenue]]</f>
        <v>0.77236676302720331</v>
      </c>
    </row>
    <row r="50" spans="1:13" x14ac:dyDescent="0.3">
      <c r="A50" s="1" t="s">
        <v>27</v>
      </c>
      <c r="B50" s="1" t="s">
        <v>35</v>
      </c>
      <c r="C50" s="1" t="s">
        <v>42</v>
      </c>
      <c r="D50" s="1" t="s">
        <v>47</v>
      </c>
      <c r="E50" s="30">
        <v>4.4170647097833395</v>
      </c>
      <c r="F50" s="1">
        <v>304</v>
      </c>
      <c r="G50" s="33">
        <v>43830</v>
      </c>
      <c r="H50" s="38">
        <v>7880.0308275258458</v>
      </c>
      <c r="I50" s="1">
        <v>1363</v>
      </c>
      <c r="J50" s="40">
        <f>Rawdata2[[#This Row],[Gross Order Value]]/Rawdata2[[#This Row],[Number of Orders]]</f>
        <v>5.7813872542375977</v>
      </c>
      <c r="K50" s="38">
        <v>21625</v>
      </c>
      <c r="L50" s="80">
        <f>Rawdata2[[#This Row],[Revenue]]-Rawdata2[[#This Row],[Expenses]]</f>
        <v>22205</v>
      </c>
      <c r="M50" s="12">
        <f>Rawdata2[[#This Row],[Net Income]]/Rawdata2[[#This Row],[Revenue]]</f>
        <v>0.5066164727355692</v>
      </c>
    </row>
    <row r="51" spans="1:13" x14ac:dyDescent="0.3">
      <c r="A51" s="1" t="s">
        <v>30</v>
      </c>
      <c r="B51" s="1" t="s">
        <v>35</v>
      </c>
      <c r="C51" s="1" t="s">
        <v>49</v>
      </c>
      <c r="D51" s="1" t="s">
        <v>43</v>
      </c>
      <c r="E51" s="30">
        <v>4.3711454699342331</v>
      </c>
      <c r="F51" s="1">
        <v>111</v>
      </c>
      <c r="G51" s="34">
        <v>10711</v>
      </c>
      <c r="H51" s="38">
        <v>8375.8307097212091</v>
      </c>
      <c r="I51" s="1">
        <v>1122</v>
      </c>
      <c r="J51" s="40">
        <f>Rawdata2[[#This Row],[Gross Order Value]]/Rawdata2[[#This Row],[Number of Orders]]</f>
        <v>7.4650897591098122</v>
      </c>
      <c r="K51" s="38">
        <v>50009</v>
      </c>
      <c r="L51" s="80">
        <f>Rawdata2[[#This Row],[Revenue]]-Rawdata2[[#This Row],[Expenses]]</f>
        <v>-39298</v>
      </c>
      <c r="M51" s="12">
        <f>Rawdata2[[#This Row],[Net Income]]/Rawdata2[[#This Row],[Revenue]]</f>
        <v>-3.6689384744655027</v>
      </c>
    </row>
    <row r="52" spans="1:13" x14ac:dyDescent="0.3">
      <c r="A52" s="1" t="s">
        <v>29</v>
      </c>
      <c r="B52" s="1" t="s">
        <v>35</v>
      </c>
      <c r="C52" s="1" t="s">
        <v>44</v>
      </c>
      <c r="D52" s="1" t="s">
        <v>41</v>
      </c>
      <c r="E52" s="30">
        <v>4.4701701099037985</v>
      </c>
      <c r="F52" s="1">
        <v>306</v>
      </c>
      <c r="G52" s="33">
        <v>5191</v>
      </c>
      <c r="H52" s="38">
        <v>17758.378726198422</v>
      </c>
      <c r="I52" s="1">
        <v>5296</v>
      </c>
      <c r="J52" s="40">
        <f>Rawdata2[[#This Row],[Gross Order Value]]/Rawdata2[[#This Row],[Number of Orders]]</f>
        <v>3.3531681884815749</v>
      </c>
      <c r="K52" s="38">
        <v>47250</v>
      </c>
      <c r="L52" s="80">
        <f>Rawdata2[[#This Row],[Revenue]]-Rawdata2[[#This Row],[Expenses]]</f>
        <v>-42059</v>
      </c>
      <c r="M52" s="12">
        <f>Rawdata2[[#This Row],[Net Income]]/Rawdata2[[#This Row],[Revenue]]</f>
        <v>-8.1022924292043914</v>
      </c>
    </row>
    <row r="53" spans="1:13" x14ac:dyDescent="0.3">
      <c r="A53" s="1">
        <v>2022</v>
      </c>
      <c r="B53" s="1" t="s">
        <v>35</v>
      </c>
      <c r="C53" s="1" t="s">
        <v>45</v>
      </c>
      <c r="D53" s="1" t="s">
        <v>0</v>
      </c>
      <c r="E53" s="30">
        <v>4.2627956904321298</v>
      </c>
      <c r="F53" s="1">
        <v>421</v>
      </c>
      <c r="G53" s="34">
        <v>37280</v>
      </c>
      <c r="H53" s="38">
        <v>2287.7241566793491</v>
      </c>
      <c r="I53" s="1">
        <v>4187</v>
      </c>
      <c r="J53" s="40">
        <f>Rawdata2[[#This Row],[Gross Order Value]]/Rawdata2[[#This Row],[Number of Orders]]</f>
        <v>0.5463874269594815</v>
      </c>
      <c r="K53" s="38">
        <v>25675</v>
      </c>
      <c r="L53" s="80">
        <f>Rawdata2[[#This Row],[Revenue]]-Rawdata2[[#This Row],[Expenses]]</f>
        <v>11605</v>
      </c>
      <c r="M53" s="12">
        <f>Rawdata2[[#This Row],[Net Income]]/Rawdata2[[#This Row],[Revenue]]</f>
        <v>0.31129291845493562</v>
      </c>
    </row>
    <row r="54" spans="1:13" x14ac:dyDescent="0.3">
      <c r="A54" s="1" t="s">
        <v>26</v>
      </c>
      <c r="B54" s="1" t="s">
        <v>35</v>
      </c>
      <c r="C54" s="1" t="s">
        <v>42</v>
      </c>
      <c r="D54" s="1" t="s">
        <v>48</v>
      </c>
      <c r="E54" s="30">
        <v>4.4669019690987053</v>
      </c>
      <c r="F54" s="1">
        <v>68</v>
      </c>
      <c r="G54" s="33">
        <v>9390</v>
      </c>
      <c r="H54" s="38">
        <v>3421.1001565375368</v>
      </c>
      <c r="I54" s="1">
        <v>4960</v>
      </c>
      <c r="J54" s="40">
        <f>Rawdata2[[#This Row],[Gross Order Value]]/Rawdata2[[#This Row],[Number of Orders]]</f>
        <v>0.6897379347857937</v>
      </c>
      <c r="K54" s="38">
        <v>22127</v>
      </c>
      <c r="L54" s="80">
        <f>Rawdata2[[#This Row],[Revenue]]-Rawdata2[[#This Row],[Expenses]]</f>
        <v>-12737</v>
      </c>
      <c r="M54" s="12">
        <f>Rawdata2[[#This Row],[Net Income]]/Rawdata2[[#This Row],[Revenue]]</f>
        <v>-1.3564430244941428</v>
      </c>
    </row>
    <row r="55" spans="1:13" x14ac:dyDescent="0.3">
      <c r="A55" s="1" t="s">
        <v>28</v>
      </c>
      <c r="B55" s="1" t="s">
        <v>35</v>
      </c>
      <c r="C55" s="1" t="s">
        <v>42</v>
      </c>
      <c r="D55" s="1" t="s">
        <v>46</v>
      </c>
      <c r="E55" s="30">
        <v>4.6433954120333381</v>
      </c>
      <c r="F55" s="1">
        <v>479</v>
      </c>
      <c r="G55" s="34">
        <v>6873</v>
      </c>
      <c r="H55" s="38">
        <v>21519.822662357241</v>
      </c>
      <c r="I55" s="1">
        <v>7735</v>
      </c>
      <c r="J55" s="40">
        <f>Rawdata2[[#This Row],[Gross Order Value]]/Rawdata2[[#This Row],[Number of Orders]]</f>
        <v>2.7821360908024877</v>
      </c>
      <c r="K55" s="38">
        <v>15154</v>
      </c>
      <c r="L55" s="80">
        <f>Rawdata2[[#This Row],[Revenue]]-Rawdata2[[#This Row],[Expenses]]</f>
        <v>-8281</v>
      </c>
      <c r="M55" s="12">
        <f>Rawdata2[[#This Row],[Net Income]]/Rawdata2[[#This Row],[Revenue]]</f>
        <v>-1.2048595955186963</v>
      </c>
    </row>
    <row r="56" spans="1:13" x14ac:dyDescent="0.3">
      <c r="A56" s="1" t="s">
        <v>27</v>
      </c>
      <c r="B56" s="1" t="s">
        <v>35</v>
      </c>
      <c r="C56" s="1" t="s">
        <v>49</v>
      </c>
      <c r="D56" s="1" t="s">
        <v>47</v>
      </c>
      <c r="E56" s="30">
        <v>4.7995587435985918</v>
      </c>
      <c r="F56" s="1">
        <v>410</v>
      </c>
      <c r="G56" s="33">
        <v>19094</v>
      </c>
      <c r="H56" s="38">
        <v>14061.50669125099</v>
      </c>
      <c r="I56" s="1">
        <v>9038</v>
      </c>
      <c r="J56" s="40">
        <f>Rawdata2[[#This Row],[Gross Order Value]]/Rawdata2[[#This Row],[Number of Orders]]</f>
        <v>1.5558206119994458</v>
      </c>
      <c r="K56" s="38">
        <v>23288</v>
      </c>
      <c r="L56" s="80">
        <f>Rawdata2[[#This Row],[Revenue]]-Rawdata2[[#This Row],[Expenses]]</f>
        <v>-4194</v>
      </c>
      <c r="M56" s="12">
        <f>Rawdata2[[#This Row],[Net Income]]/Rawdata2[[#This Row],[Revenue]]</f>
        <v>-0.21965015188017178</v>
      </c>
    </row>
    <row r="57" spans="1:13" x14ac:dyDescent="0.3">
      <c r="A57" s="1" t="s">
        <v>29</v>
      </c>
      <c r="B57" s="1" t="s">
        <v>35</v>
      </c>
      <c r="C57" s="1" t="s">
        <v>45</v>
      </c>
      <c r="D57" s="1" t="s">
        <v>43</v>
      </c>
      <c r="E57" s="30">
        <v>4.2518752805533282</v>
      </c>
      <c r="F57" s="1">
        <v>130</v>
      </c>
      <c r="G57" s="34">
        <v>3779</v>
      </c>
      <c r="H57" s="38">
        <v>13071.966787075289</v>
      </c>
      <c r="I57" s="1">
        <v>9789</v>
      </c>
      <c r="J57" s="40">
        <f>Rawdata2[[#This Row],[Gross Order Value]]/Rawdata2[[#This Row],[Number of Orders]]</f>
        <v>1.3353730500638767</v>
      </c>
      <c r="K57" s="38">
        <v>48426</v>
      </c>
      <c r="L57" s="80">
        <f>Rawdata2[[#This Row],[Revenue]]-Rawdata2[[#This Row],[Expenses]]</f>
        <v>-44647</v>
      </c>
      <c r="M57" s="12">
        <f>Rawdata2[[#This Row],[Net Income]]/Rawdata2[[#This Row],[Revenue]]</f>
        <v>-11.814501190791214</v>
      </c>
    </row>
    <row r="58" spans="1:13" x14ac:dyDescent="0.3">
      <c r="A58" s="1" t="s">
        <v>26</v>
      </c>
      <c r="B58" s="1" t="s">
        <v>35</v>
      </c>
      <c r="C58" s="1" t="s">
        <v>42</v>
      </c>
      <c r="D58" s="1" t="s">
        <v>41</v>
      </c>
      <c r="E58" s="30">
        <v>4.8334202521698861</v>
      </c>
      <c r="F58" s="1">
        <v>417</v>
      </c>
      <c r="G58" s="33">
        <v>1349</v>
      </c>
      <c r="H58" s="38">
        <v>16181.195524786381</v>
      </c>
      <c r="I58" s="1">
        <v>6718</v>
      </c>
      <c r="J58" s="40">
        <f>Rawdata2[[#This Row],[Gross Order Value]]/Rawdata2[[#This Row],[Number of Orders]]</f>
        <v>2.408632855728845</v>
      </c>
      <c r="K58" s="38">
        <v>15135</v>
      </c>
      <c r="L58" s="80">
        <f>Rawdata2[[#This Row],[Revenue]]-Rawdata2[[#This Row],[Expenses]]</f>
        <v>-13786</v>
      </c>
      <c r="M58" s="12">
        <f>Rawdata2[[#This Row],[Net Income]]/Rawdata2[[#This Row],[Revenue]]</f>
        <v>-10.219421793921423</v>
      </c>
    </row>
    <row r="59" spans="1:13" x14ac:dyDescent="0.3">
      <c r="A59" s="1" t="s">
        <v>28</v>
      </c>
      <c r="B59" s="1" t="s">
        <v>35</v>
      </c>
      <c r="C59" s="1" t="s">
        <v>45</v>
      </c>
      <c r="D59" s="1" t="s">
        <v>0</v>
      </c>
      <c r="E59" s="30">
        <v>4.6772668001467315</v>
      </c>
      <c r="F59" s="1">
        <v>46</v>
      </c>
      <c r="G59" s="34">
        <v>20123</v>
      </c>
      <c r="H59" s="38">
        <v>18077.144046517209</v>
      </c>
      <c r="I59" s="1">
        <v>7290</v>
      </c>
      <c r="J59" s="40">
        <f>Rawdata2[[#This Row],[Gross Order Value]]/Rawdata2[[#This Row],[Number of Orders]]</f>
        <v>2.4797179762026351</v>
      </c>
      <c r="K59" s="38">
        <v>40610</v>
      </c>
      <c r="L59" s="80">
        <f>Rawdata2[[#This Row],[Revenue]]-Rawdata2[[#This Row],[Expenses]]</f>
        <v>-20487</v>
      </c>
      <c r="M59" s="12">
        <f>Rawdata2[[#This Row],[Net Income]]/Rawdata2[[#This Row],[Revenue]]</f>
        <v>-1.0180887541619044</v>
      </c>
    </row>
    <row r="60" spans="1:13" x14ac:dyDescent="0.3">
      <c r="A60" s="1" t="s">
        <v>30</v>
      </c>
      <c r="B60" s="1" t="s">
        <v>35</v>
      </c>
      <c r="C60" s="1" t="s">
        <v>44</v>
      </c>
      <c r="D60" s="1" t="s">
        <v>48</v>
      </c>
      <c r="E60" s="30">
        <v>4.7958879364316038</v>
      </c>
      <c r="F60" s="1">
        <v>57</v>
      </c>
      <c r="G60" s="33">
        <v>27923</v>
      </c>
      <c r="H60" s="38">
        <v>1197.206100176101</v>
      </c>
      <c r="I60" s="1">
        <v>1159</v>
      </c>
      <c r="J60" s="40">
        <f>Rawdata2[[#This Row],[Gross Order Value]]/Rawdata2[[#This Row],[Number of Orders]]</f>
        <v>1.0329647111096645</v>
      </c>
      <c r="K60" s="38">
        <v>47403</v>
      </c>
      <c r="L60" s="80">
        <f>Rawdata2[[#This Row],[Revenue]]-Rawdata2[[#This Row],[Expenses]]</f>
        <v>-19480</v>
      </c>
      <c r="M60" s="12">
        <f>Rawdata2[[#This Row],[Net Income]]/Rawdata2[[#This Row],[Revenue]]</f>
        <v>-0.69763277584786731</v>
      </c>
    </row>
    <row r="61" spans="1:13" x14ac:dyDescent="0.3">
      <c r="A61" s="1" t="s">
        <v>30</v>
      </c>
      <c r="B61" s="1" t="s">
        <v>35</v>
      </c>
      <c r="C61" s="1" t="s">
        <v>45</v>
      </c>
      <c r="D61" s="1" t="s">
        <v>46</v>
      </c>
      <c r="E61" s="30">
        <v>4.6393549619661654</v>
      </c>
      <c r="F61" s="1">
        <v>75</v>
      </c>
      <c r="G61" s="34">
        <v>47614</v>
      </c>
      <c r="H61" s="38">
        <v>1002.5175233495841</v>
      </c>
      <c r="I61" s="1">
        <v>5810</v>
      </c>
      <c r="J61" s="40">
        <f>Rawdata2[[#This Row],[Gross Order Value]]/Rawdata2[[#This Row],[Number of Orders]]</f>
        <v>0.17255034825294047</v>
      </c>
      <c r="K61" s="38">
        <v>4505</v>
      </c>
      <c r="L61" s="80">
        <f>Rawdata2[[#This Row],[Revenue]]-Rawdata2[[#This Row],[Expenses]]</f>
        <v>43109</v>
      </c>
      <c r="M61" s="12">
        <f>Rawdata2[[#This Row],[Net Income]]/Rawdata2[[#This Row],[Revenue]]</f>
        <v>0.9053849708069055</v>
      </c>
    </row>
    <row r="62" spans="1:13" x14ac:dyDescent="0.3">
      <c r="A62" s="1" t="s">
        <v>28</v>
      </c>
      <c r="B62" s="1" t="s">
        <v>36</v>
      </c>
      <c r="C62" s="1" t="s">
        <v>42</v>
      </c>
      <c r="D62" s="1" t="s">
        <v>48</v>
      </c>
      <c r="E62" s="30">
        <v>4.3523403173036526</v>
      </c>
      <c r="F62" s="1">
        <v>123</v>
      </c>
      <c r="G62" s="33">
        <v>44035</v>
      </c>
      <c r="H62" s="38">
        <v>15786.666581654021</v>
      </c>
      <c r="I62" s="1">
        <v>3896</v>
      </c>
      <c r="J62" s="40">
        <f>Rawdata2[[#This Row],[Gross Order Value]]/Rawdata2[[#This Row],[Number of Orders]]</f>
        <v>4.0520191431350154</v>
      </c>
      <c r="K62" s="38">
        <v>2452</v>
      </c>
      <c r="L62" s="80">
        <f>Rawdata2[[#This Row],[Revenue]]-Rawdata2[[#This Row],[Expenses]]</f>
        <v>41583</v>
      </c>
      <c r="M62" s="12">
        <f>Rawdata2[[#This Row],[Net Income]]/Rawdata2[[#This Row],[Revenue]]</f>
        <v>0.94431702055183375</v>
      </c>
    </row>
    <row r="63" spans="1:13" x14ac:dyDescent="0.3">
      <c r="A63" s="1">
        <v>2021</v>
      </c>
      <c r="B63" s="1" t="s">
        <v>36</v>
      </c>
      <c r="C63" s="1" t="s">
        <v>49</v>
      </c>
      <c r="D63" s="1" t="s">
        <v>0</v>
      </c>
      <c r="E63" s="30">
        <v>4.6972711726112149</v>
      </c>
      <c r="F63" s="1">
        <v>363</v>
      </c>
      <c r="G63" s="34">
        <v>4229</v>
      </c>
      <c r="H63" s="38">
        <v>15810.600509817181</v>
      </c>
      <c r="I63" s="1">
        <v>206</v>
      </c>
      <c r="J63" s="40">
        <f>Rawdata2[[#This Row],[Gross Order Value]]/Rawdata2[[#This Row],[Number of Orders]]</f>
        <v>76.750487911733885</v>
      </c>
      <c r="K63" s="38">
        <v>5273</v>
      </c>
      <c r="L63" s="80">
        <f>Rawdata2[[#This Row],[Revenue]]-Rawdata2[[#This Row],[Expenses]]</f>
        <v>-1044</v>
      </c>
      <c r="M63" s="12">
        <f>Rawdata2[[#This Row],[Net Income]]/Rawdata2[[#This Row],[Revenue]]</f>
        <v>-0.24686687160085127</v>
      </c>
    </row>
    <row r="64" spans="1:13" x14ac:dyDescent="0.3">
      <c r="A64" s="1" t="s">
        <v>30</v>
      </c>
      <c r="B64" s="1" t="s">
        <v>36</v>
      </c>
      <c r="C64" s="1" t="s">
        <v>49</v>
      </c>
      <c r="D64" s="1" t="s">
        <v>46</v>
      </c>
      <c r="E64" s="30">
        <v>4.5224577257048777</v>
      </c>
      <c r="F64" s="1">
        <v>432</v>
      </c>
      <c r="G64" s="33">
        <v>4045</v>
      </c>
      <c r="H64" s="38">
        <v>6113.3570408292762</v>
      </c>
      <c r="I64" s="1">
        <v>2533</v>
      </c>
      <c r="J64" s="40">
        <f>Rawdata2[[#This Row],[Gross Order Value]]/Rawdata2[[#This Row],[Number of Orders]]</f>
        <v>2.4134848167506027</v>
      </c>
      <c r="K64" s="38">
        <v>37093</v>
      </c>
      <c r="L64" s="80">
        <f>Rawdata2[[#This Row],[Revenue]]-Rawdata2[[#This Row],[Expenses]]</f>
        <v>-33048</v>
      </c>
      <c r="M64" s="12">
        <f>Rawdata2[[#This Row],[Net Income]]/Rawdata2[[#This Row],[Revenue]]</f>
        <v>-8.1700865265760196</v>
      </c>
    </row>
    <row r="65" spans="1:13" x14ac:dyDescent="0.3">
      <c r="A65" s="1" t="s">
        <v>29</v>
      </c>
      <c r="B65" s="1" t="s">
        <v>36</v>
      </c>
      <c r="C65" s="1" t="s">
        <v>45</v>
      </c>
      <c r="D65" s="1" t="s">
        <v>41</v>
      </c>
      <c r="E65" s="30">
        <v>4.4399245720552347</v>
      </c>
      <c r="F65" s="1">
        <v>265</v>
      </c>
      <c r="G65" s="34">
        <v>3818</v>
      </c>
      <c r="H65" s="38">
        <v>12704.692646153129</v>
      </c>
      <c r="I65" s="1">
        <v>3407</v>
      </c>
      <c r="J65" s="40">
        <f>Rawdata2[[#This Row],[Gross Order Value]]/Rawdata2[[#This Row],[Number of Orders]]</f>
        <v>3.7289969610076694</v>
      </c>
      <c r="K65" s="38">
        <v>13547</v>
      </c>
      <c r="L65" s="80">
        <f>Rawdata2[[#This Row],[Revenue]]-Rawdata2[[#This Row],[Expenses]]</f>
        <v>-9729</v>
      </c>
      <c r="M65" s="12">
        <f>Rawdata2[[#This Row],[Net Income]]/Rawdata2[[#This Row],[Revenue]]</f>
        <v>-2.5481927710843375</v>
      </c>
    </row>
    <row r="66" spans="1:13" x14ac:dyDescent="0.3">
      <c r="A66" s="1" t="s">
        <v>27</v>
      </c>
      <c r="B66" s="1" t="s">
        <v>36</v>
      </c>
      <c r="C66" s="1" t="s">
        <v>42</v>
      </c>
      <c r="D66" s="1" t="s">
        <v>47</v>
      </c>
      <c r="E66" s="30">
        <v>4.3215745768316181</v>
      </c>
      <c r="F66" s="1">
        <v>389</v>
      </c>
      <c r="G66" s="33">
        <v>23157</v>
      </c>
      <c r="H66" s="38">
        <v>17143.25830018206</v>
      </c>
      <c r="I66" s="1">
        <v>5068</v>
      </c>
      <c r="J66" s="40">
        <f>Rawdata2[[#This Row],[Gross Order Value]]/Rawdata2[[#This Row],[Number of Orders]]</f>
        <v>3.3826476519696254</v>
      </c>
      <c r="K66" s="38">
        <v>11413</v>
      </c>
      <c r="L66" s="80">
        <f>Rawdata2[[#This Row],[Revenue]]-Rawdata2[[#This Row],[Expenses]]</f>
        <v>11744</v>
      </c>
      <c r="M66" s="12">
        <f>Rawdata2[[#This Row],[Net Income]]/Rawdata2[[#This Row],[Revenue]]</f>
        <v>0.50714686703804468</v>
      </c>
    </row>
    <row r="67" spans="1:13" x14ac:dyDescent="0.3">
      <c r="A67" s="1">
        <v>2020</v>
      </c>
      <c r="B67" s="1" t="s">
        <v>36</v>
      </c>
      <c r="C67" s="1" t="s">
        <v>49</v>
      </c>
      <c r="D67" s="1" t="s">
        <v>43</v>
      </c>
      <c r="E67" s="30">
        <v>4.8728035160020093</v>
      </c>
      <c r="F67" s="1">
        <v>192</v>
      </c>
      <c r="G67" s="34">
        <v>22374</v>
      </c>
      <c r="H67" s="38">
        <v>954.982609744922</v>
      </c>
      <c r="I67" s="1">
        <v>4765</v>
      </c>
      <c r="J67" s="40">
        <f>Rawdata2[[#This Row],[Gross Order Value]]/Rawdata2[[#This Row],[Number of Orders]]</f>
        <v>0.20041607759599622</v>
      </c>
      <c r="K67" s="38">
        <v>16645</v>
      </c>
      <c r="L67" s="80">
        <f>Rawdata2[[#This Row],[Revenue]]-Rawdata2[[#This Row],[Expenses]]</f>
        <v>5729</v>
      </c>
      <c r="M67" s="12">
        <f>Rawdata2[[#This Row],[Net Income]]/Rawdata2[[#This Row],[Revenue]]</f>
        <v>0.25605613658711002</v>
      </c>
    </row>
    <row r="68" spans="1:13" x14ac:dyDescent="0.3">
      <c r="A68" s="1" t="s">
        <v>29</v>
      </c>
      <c r="B68" s="1" t="s">
        <v>36</v>
      </c>
      <c r="C68" s="1" t="s">
        <v>44</v>
      </c>
      <c r="D68" s="1" t="s">
        <v>48</v>
      </c>
      <c r="E68" s="30">
        <v>4.6920995790538731</v>
      </c>
      <c r="F68" s="1">
        <v>346</v>
      </c>
      <c r="G68" s="33">
        <v>31274</v>
      </c>
      <c r="H68" s="38">
        <v>4410.9333646927207</v>
      </c>
      <c r="I68" s="1">
        <v>8047</v>
      </c>
      <c r="J68" s="40">
        <f>Rawdata2[[#This Row],[Gross Order Value]]/Rawdata2[[#This Row],[Number of Orders]]</f>
        <v>0.5481463110094098</v>
      </c>
      <c r="K68" s="38">
        <v>54440</v>
      </c>
      <c r="L68" s="80">
        <f>Rawdata2[[#This Row],[Revenue]]-Rawdata2[[#This Row],[Expenses]]</f>
        <v>-23166</v>
      </c>
      <c r="M68" s="12">
        <f>Rawdata2[[#This Row],[Net Income]]/Rawdata2[[#This Row],[Revenue]]</f>
        <v>-0.74074310929206366</v>
      </c>
    </row>
    <row r="69" spans="1:13" x14ac:dyDescent="0.3">
      <c r="A69" s="1" t="s">
        <v>28</v>
      </c>
      <c r="B69" s="1" t="s">
        <v>36</v>
      </c>
      <c r="C69" s="1" t="s">
        <v>45</v>
      </c>
      <c r="D69" s="1" t="s">
        <v>0</v>
      </c>
      <c r="E69" s="30">
        <v>4.7079174377879172</v>
      </c>
      <c r="F69" s="1">
        <v>442</v>
      </c>
      <c r="G69" s="34">
        <v>49462</v>
      </c>
      <c r="H69" s="38">
        <v>3012.0961837597779</v>
      </c>
      <c r="I69" s="1">
        <v>6368</v>
      </c>
      <c r="J69" s="40">
        <f>Rawdata2[[#This Row],[Gross Order Value]]/Rawdata2[[#This Row],[Number of Orders]]</f>
        <v>0.47300505398237719</v>
      </c>
      <c r="K69" s="38">
        <v>49937</v>
      </c>
      <c r="L69" s="80">
        <f>Rawdata2[[#This Row],[Revenue]]-Rawdata2[[#This Row],[Expenses]]</f>
        <v>-475</v>
      </c>
      <c r="M69" s="12">
        <f>Rawdata2[[#This Row],[Net Income]]/Rawdata2[[#This Row],[Revenue]]</f>
        <v>-9.6033318507136797E-3</v>
      </c>
    </row>
    <row r="70" spans="1:13" x14ac:dyDescent="0.3">
      <c r="A70" s="1" t="s">
        <v>27</v>
      </c>
      <c r="B70" s="1" t="s">
        <v>36</v>
      </c>
      <c r="C70" s="1" t="s">
        <v>44</v>
      </c>
      <c r="D70" s="1" t="s">
        <v>46</v>
      </c>
      <c r="E70" s="30">
        <v>4.4608523625168903</v>
      </c>
      <c r="F70" s="1">
        <v>459</v>
      </c>
      <c r="G70" s="33">
        <v>1164</v>
      </c>
      <c r="H70" s="38">
        <v>15218.124474034639</v>
      </c>
      <c r="I70" s="1">
        <v>9566</v>
      </c>
      <c r="J70" s="40">
        <f>Rawdata2[[#This Row],[Gross Order Value]]/Rawdata2[[#This Row],[Number of Orders]]</f>
        <v>1.5908555795562032</v>
      </c>
      <c r="K70" s="38">
        <v>48804</v>
      </c>
      <c r="L70" s="80">
        <f>Rawdata2[[#This Row],[Revenue]]-Rawdata2[[#This Row],[Expenses]]</f>
        <v>-47640</v>
      </c>
      <c r="M70" s="12">
        <f>Rawdata2[[#This Row],[Net Income]]/Rawdata2[[#This Row],[Revenue]]</f>
        <v>-40.927835051546388</v>
      </c>
    </row>
    <row r="71" spans="1:13" x14ac:dyDescent="0.3">
      <c r="A71" s="1" t="s">
        <v>28</v>
      </c>
      <c r="B71" s="1" t="s">
        <v>36</v>
      </c>
      <c r="C71" s="1" t="s">
        <v>49</v>
      </c>
      <c r="D71" s="1" t="s">
        <v>41</v>
      </c>
      <c r="E71" s="30">
        <v>4.6694539585195507</v>
      </c>
      <c r="F71" s="1">
        <v>114</v>
      </c>
      <c r="G71" s="34">
        <v>14474</v>
      </c>
      <c r="H71" s="38">
        <v>1280.490681942372</v>
      </c>
      <c r="I71" s="1">
        <v>8719</v>
      </c>
      <c r="J71" s="40">
        <f>Rawdata2[[#This Row],[Gross Order Value]]/Rawdata2[[#This Row],[Number of Orders]]</f>
        <v>0.14686210367500541</v>
      </c>
      <c r="K71" s="38">
        <v>11557</v>
      </c>
      <c r="L71" s="80">
        <f>Rawdata2[[#This Row],[Revenue]]-Rawdata2[[#This Row],[Expenses]]</f>
        <v>2917</v>
      </c>
      <c r="M71" s="12">
        <f>Rawdata2[[#This Row],[Net Income]]/Rawdata2[[#This Row],[Revenue]]</f>
        <v>0.20153378471742434</v>
      </c>
    </row>
    <row r="72" spans="1:13" x14ac:dyDescent="0.3">
      <c r="A72" s="1" t="s">
        <v>30</v>
      </c>
      <c r="B72" s="1" t="s">
        <v>36</v>
      </c>
      <c r="C72" s="1" t="s">
        <v>44</v>
      </c>
      <c r="D72" s="1" t="s">
        <v>47</v>
      </c>
      <c r="E72" s="30">
        <v>4.4906728085363019</v>
      </c>
      <c r="F72" s="1">
        <v>28</v>
      </c>
      <c r="G72" s="33">
        <v>20772</v>
      </c>
      <c r="H72" s="38">
        <v>7365.3019712689902</v>
      </c>
      <c r="I72" s="1">
        <v>1720</v>
      </c>
      <c r="J72" s="40">
        <f>Rawdata2[[#This Row],[Gross Order Value]]/Rawdata2[[#This Row],[Number of Orders]]</f>
        <v>4.2821523088773201</v>
      </c>
      <c r="K72" s="38">
        <v>32723</v>
      </c>
      <c r="L72" s="80">
        <f>Rawdata2[[#This Row],[Revenue]]-Rawdata2[[#This Row],[Expenses]]</f>
        <v>-11951</v>
      </c>
      <c r="M72" s="12">
        <f>Rawdata2[[#This Row],[Net Income]]/Rawdata2[[#This Row],[Revenue]]</f>
        <v>-0.5753418062776815</v>
      </c>
    </row>
    <row r="73" spans="1:13" x14ac:dyDescent="0.3">
      <c r="A73" s="1" t="s">
        <v>27</v>
      </c>
      <c r="B73" s="1" t="s">
        <v>36</v>
      </c>
      <c r="C73" s="1" t="s">
        <v>45</v>
      </c>
      <c r="D73" s="1" t="s">
        <v>43</v>
      </c>
      <c r="E73" s="30">
        <v>4.7148723050681705</v>
      </c>
      <c r="F73" s="1">
        <v>172</v>
      </c>
      <c r="G73" s="34">
        <v>41869</v>
      </c>
      <c r="H73" s="38">
        <v>22929.183589849119</v>
      </c>
      <c r="I73" s="1">
        <v>9360</v>
      </c>
      <c r="J73" s="40">
        <f>Rawdata2[[#This Row],[Gross Order Value]]/Rawdata2[[#This Row],[Number of Orders]]</f>
        <v>2.4496991014796068</v>
      </c>
      <c r="K73" s="38">
        <v>51738</v>
      </c>
      <c r="L73" s="80">
        <f>Rawdata2[[#This Row],[Revenue]]-Rawdata2[[#This Row],[Expenses]]</f>
        <v>-9869</v>
      </c>
      <c r="M73" s="12">
        <f>Rawdata2[[#This Row],[Net Income]]/Rawdata2[[#This Row],[Revenue]]</f>
        <v>-0.23571138551195395</v>
      </c>
    </row>
    <row r="74" spans="1:13" x14ac:dyDescent="0.3">
      <c r="A74" s="1" t="s">
        <v>29</v>
      </c>
      <c r="B74" s="1" t="s">
        <v>37</v>
      </c>
      <c r="C74" s="1" t="s">
        <v>42</v>
      </c>
      <c r="D74" s="1" t="s">
        <v>47</v>
      </c>
      <c r="E74" s="30">
        <v>4.7653902363356844</v>
      </c>
      <c r="F74" s="1">
        <v>51</v>
      </c>
      <c r="G74" s="33">
        <v>4400</v>
      </c>
      <c r="H74" s="38">
        <v>19184.987689525449</v>
      </c>
      <c r="I74" s="1">
        <v>3391</v>
      </c>
      <c r="J74" s="40">
        <f>Rawdata2[[#This Row],[Gross Order Value]]/Rawdata2[[#This Row],[Number of Orders]]</f>
        <v>5.6576194896860654</v>
      </c>
      <c r="K74" s="38">
        <v>21958</v>
      </c>
      <c r="L74" s="80">
        <f>Rawdata2[[#This Row],[Revenue]]-Rawdata2[[#This Row],[Expenses]]</f>
        <v>-17558</v>
      </c>
      <c r="M74" s="12">
        <f>Rawdata2[[#This Row],[Net Income]]/Rawdata2[[#This Row],[Revenue]]</f>
        <v>-3.9904545454545453</v>
      </c>
    </row>
    <row r="75" spans="1:13" x14ac:dyDescent="0.3">
      <c r="A75" s="1">
        <v>2019</v>
      </c>
      <c r="B75" s="1" t="s">
        <v>37</v>
      </c>
      <c r="C75" s="1" t="s">
        <v>49</v>
      </c>
      <c r="D75" s="1" t="s">
        <v>43</v>
      </c>
      <c r="E75" s="30">
        <v>4.4508300667780869</v>
      </c>
      <c r="F75" s="1">
        <v>494</v>
      </c>
      <c r="G75" s="34">
        <v>40585</v>
      </c>
      <c r="H75" s="38">
        <v>4678.7292611597022</v>
      </c>
      <c r="I75" s="1">
        <v>5624</v>
      </c>
      <c r="J75" s="40">
        <f>Rawdata2[[#This Row],[Gross Order Value]]/Rawdata2[[#This Row],[Number of Orders]]</f>
        <v>0.83192198811516749</v>
      </c>
      <c r="K75" s="38">
        <v>53197</v>
      </c>
      <c r="L75" s="80">
        <f>Rawdata2[[#This Row],[Revenue]]-Rawdata2[[#This Row],[Expenses]]</f>
        <v>-12612</v>
      </c>
      <c r="M75" s="12">
        <f>Rawdata2[[#This Row],[Net Income]]/Rawdata2[[#This Row],[Revenue]]</f>
        <v>-0.31075520512504617</v>
      </c>
    </row>
    <row r="76" spans="1:13" x14ac:dyDescent="0.3">
      <c r="A76" s="1" t="s">
        <v>28</v>
      </c>
      <c r="B76" s="1" t="s">
        <v>37</v>
      </c>
      <c r="C76" s="1" t="s">
        <v>44</v>
      </c>
      <c r="D76" s="1" t="s">
        <v>41</v>
      </c>
      <c r="E76" s="30">
        <v>4.5759896223336609</v>
      </c>
      <c r="F76" s="1">
        <v>92</v>
      </c>
      <c r="G76" s="33">
        <v>19140</v>
      </c>
      <c r="H76" s="38">
        <v>13271.059968689609</v>
      </c>
      <c r="I76" s="1">
        <v>366</v>
      </c>
      <c r="J76" s="40">
        <f>Rawdata2[[#This Row],[Gross Order Value]]/Rawdata2[[#This Row],[Number of Orders]]</f>
        <v>36.259726690408769</v>
      </c>
      <c r="K76" s="38">
        <v>42670</v>
      </c>
      <c r="L76" s="80">
        <f>Rawdata2[[#This Row],[Revenue]]-Rawdata2[[#This Row],[Expenses]]</f>
        <v>-23530</v>
      </c>
      <c r="M76" s="12">
        <f>Rawdata2[[#This Row],[Net Income]]/Rawdata2[[#This Row],[Revenue]]</f>
        <v>-1.2293625914315569</v>
      </c>
    </row>
    <row r="77" spans="1:13" x14ac:dyDescent="0.3">
      <c r="A77" s="1" t="s">
        <v>30</v>
      </c>
      <c r="B77" s="1" t="s">
        <v>37</v>
      </c>
      <c r="C77" s="1" t="s">
        <v>45</v>
      </c>
      <c r="D77" s="1" t="s">
        <v>0</v>
      </c>
      <c r="E77" s="30">
        <v>4.691897136352952</v>
      </c>
      <c r="F77" s="1">
        <v>289</v>
      </c>
      <c r="G77" s="34">
        <v>31294</v>
      </c>
      <c r="H77" s="38">
        <v>6609.7068058993564</v>
      </c>
      <c r="I77" s="1">
        <v>7802</v>
      </c>
      <c r="J77" s="40">
        <f>Rawdata2[[#This Row],[Gross Order Value]]/Rawdata2[[#This Row],[Number of Orders]]</f>
        <v>0.84718108253003799</v>
      </c>
      <c r="K77" s="38">
        <v>42571</v>
      </c>
      <c r="L77" s="80">
        <f>Rawdata2[[#This Row],[Revenue]]-Rawdata2[[#This Row],[Expenses]]</f>
        <v>-11277</v>
      </c>
      <c r="M77" s="12">
        <f>Rawdata2[[#This Row],[Net Income]]/Rawdata2[[#This Row],[Revenue]]</f>
        <v>-0.36035661788202211</v>
      </c>
    </row>
    <row r="78" spans="1:13" x14ac:dyDescent="0.3">
      <c r="A78" s="1" t="s">
        <v>27</v>
      </c>
      <c r="B78" s="1" t="s">
        <v>37</v>
      </c>
      <c r="C78" s="1" t="s">
        <v>44</v>
      </c>
      <c r="D78" s="1" t="s">
        <v>46</v>
      </c>
      <c r="E78" s="30">
        <v>4.6189019099317461</v>
      </c>
      <c r="F78" s="1">
        <v>84</v>
      </c>
      <c r="G78" s="33">
        <v>407</v>
      </c>
      <c r="H78" s="38">
        <v>11777.874056406259</v>
      </c>
      <c r="I78" s="1">
        <v>392</v>
      </c>
      <c r="J78" s="40">
        <f>Rawdata2[[#This Row],[Gross Order Value]]/Rawdata2[[#This Row],[Number of Orders]]</f>
        <v>30.04559708266903</v>
      </c>
      <c r="K78" s="38">
        <v>48584</v>
      </c>
      <c r="L78" s="80">
        <f>Rawdata2[[#This Row],[Revenue]]-Rawdata2[[#This Row],[Expenses]]</f>
        <v>-48177</v>
      </c>
      <c r="M78" s="12">
        <f>Rawdata2[[#This Row],[Net Income]]/Rawdata2[[#This Row],[Revenue]]</f>
        <v>-118.37100737100737</v>
      </c>
    </row>
    <row r="79" spans="1:13" x14ac:dyDescent="0.3">
      <c r="A79" s="1" t="s">
        <v>27</v>
      </c>
      <c r="B79" s="1" t="s">
        <v>37</v>
      </c>
      <c r="C79" s="1" t="s">
        <v>49</v>
      </c>
      <c r="D79" s="1" t="s">
        <v>48</v>
      </c>
      <c r="E79" s="30">
        <v>4.3793539276166165</v>
      </c>
      <c r="F79" s="1">
        <v>44</v>
      </c>
      <c r="G79" s="34">
        <v>30850</v>
      </c>
      <c r="H79" s="38">
        <v>19605.557552767019</v>
      </c>
      <c r="I79" s="1">
        <v>4854</v>
      </c>
      <c r="J79" s="40">
        <f>Rawdata2[[#This Row],[Gross Order Value]]/Rawdata2[[#This Row],[Number of Orders]]</f>
        <v>4.0390518238086157</v>
      </c>
      <c r="K79" s="38">
        <v>38696</v>
      </c>
      <c r="L79" s="80">
        <f>Rawdata2[[#This Row],[Revenue]]-Rawdata2[[#This Row],[Expenses]]</f>
        <v>-7846</v>
      </c>
      <c r="M79" s="12">
        <f>Rawdata2[[#This Row],[Net Income]]/Rawdata2[[#This Row],[Revenue]]</f>
        <v>-0.25432739059967585</v>
      </c>
    </row>
    <row r="80" spans="1:13" x14ac:dyDescent="0.3">
      <c r="A80" s="1" t="s">
        <v>28</v>
      </c>
      <c r="B80" s="1" t="s">
        <v>37</v>
      </c>
      <c r="C80" s="1" t="s">
        <v>44</v>
      </c>
      <c r="D80" s="1" t="s">
        <v>47</v>
      </c>
      <c r="E80" s="30">
        <v>4.6892498952034325</v>
      </c>
      <c r="F80" s="1">
        <v>357</v>
      </c>
      <c r="G80" s="33">
        <v>34061</v>
      </c>
      <c r="H80" s="38">
        <v>6178.8618016062019</v>
      </c>
      <c r="I80" s="1">
        <v>1401</v>
      </c>
      <c r="J80" s="40">
        <f>Rawdata2[[#This Row],[Gross Order Value]]/Rawdata2[[#This Row],[Number of Orders]]</f>
        <v>4.4103224850865113</v>
      </c>
      <c r="K80" s="38">
        <v>45944</v>
      </c>
      <c r="L80" s="80">
        <f>Rawdata2[[#This Row],[Revenue]]-Rawdata2[[#This Row],[Expenses]]</f>
        <v>-11883</v>
      </c>
      <c r="M80" s="12">
        <f>Rawdata2[[#This Row],[Net Income]]/Rawdata2[[#This Row],[Revenue]]</f>
        <v>-0.34887407885851857</v>
      </c>
    </row>
    <row r="81" spans="1:28" x14ac:dyDescent="0.3">
      <c r="A81" s="1" t="s">
        <v>27</v>
      </c>
      <c r="B81" s="1" t="s">
        <v>37</v>
      </c>
      <c r="C81" s="1" t="s">
        <v>45</v>
      </c>
      <c r="D81" s="1" t="s">
        <v>43</v>
      </c>
      <c r="E81" s="30">
        <v>4.6786462594202156</v>
      </c>
      <c r="F81" s="1">
        <v>457</v>
      </c>
      <c r="G81" s="34">
        <v>42271</v>
      </c>
      <c r="H81" s="38">
        <v>11711.980926356789</v>
      </c>
      <c r="I81" s="1">
        <v>8994</v>
      </c>
      <c r="J81" s="40">
        <f>Rawdata2[[#This Row],[Gross Order Value]]/Rawdata2[[#This Row],[Number of Orders]]</f>
        <v>1.3021993469376016</v>
      </c>
      <c r="K81" s="38">
        <v>27658</v>
      </c>
      <c r="L81" s="80">
        <f>Rawdata2[[#This Row],[Revenue]]-Rawdata2[[#This Row],[Expenses]]</f>
        <v>14613</v>
      </c>
      <c r="M81" s="12">
        <f>Rawdata2[[#This Row],[Net Income]]/Rawdata2[[#This Row],[Revenue]]</f>
        <v>0.34569799626221287</v>
      </c>
    </row>
    <row r="82" spans="1:28" x14ac:dyDescent="0.3">
      <c r="A82" s="1" t="s">
        <v>27</v>
      </c>
      <c r="B82" s="1" t="s">
        <v>37</v>
      </c>
      <c r="C82" s="1" t="s">
        <v>42</v>
      </c>
      <c r="D82" s="1" t="s">
        <v>41</v>
      </c>
      <c r="E82" s="30">
        <v>4.7782568262019973</v>
      </c>
      <c r="F82" s="1">
        <v>282</v>
      </c>
      <c r="G82" s="33">
        <v>38231</v>
      </c>
      <c r="H82" s="38">
        <v>12027.26761769722</v>
      </c>
      <c r="I82" s="1">
        <v>4862</v>
      </c>
      <c r="J82" s="40">
        <f>Rawdata2[[#This Row],[Gross Order Value]]/Rawdata2[[#This Row],[Number of Orders]]</f>
        <v>2.4737284281565652</v>
      </c>
      <c r="K82" s="38">
        <v>26220</v>
      </c>
      <c r="L82" s="80">
        <f>Rawdata2[[#This Row],[Revenue]]-Rawdata2[[#This Row],[Expenses]]</f>
        <v>12011</v>
      </c>
      <c r="M82" s="12">
        <f>Rawdata2[[#This Row],[Net Income]]/Rawdata2[[#This Row],[Revenue]]</f>
        <v>0.31416912976380423</v>
      </c>
    </row>
    <row r="83" spans="1:28" x14ac:dyDescent="0.3">
      <c r="A83" s="1" t="s">
        <v>30</v>
      </c>
      <c r="B83" s="1" t="s">
        <v>37</v>
      </c>
      <c r="C83" s="1" t="s">
        <v>49</v>
      </c>
      <c r="D83" s="1" t="s">
        <v>0</v>
      </c>
      <c r="E83" s="30">
        <v>4.6518227235139831</v>
      </c>
      <c r="F83" s="1">
        <v>361</v>
      </c>
      <c r="G83" s="34">
        <v>35718</v>
      </c>
      <c r="H83" s="38">
        <v>22271.745399392399</v>
      </c>
      <c r="I83" s="1">
        <v>8114</v>
      </c>
      <c r="J83" s="40">
        <f>Rawdata2[[#This Row],[Gross Order Value]]/Rawdata2[[#This Row],[Number of Orders]]</f>
        <v>2.7448540053478432</v>
      </c>
      <c r="K83" s="38">
        <v>37457</v>
      </c>
      <c r="L83" s="80">
        <f>Rawdata2[[#This Row],[Revenue]]-Rawdata2[[#This Row],[Expenses]]</f>
        <v>-1739</v>
      </c>
      <c r="M83" s="12">
        <f>Rawdata2[[#This Row],[Net Income]]/Rawdata2[[#This Row],[Revenue]]</f>
        <v>-4.8686936558597904E-2</v>
      </c>
      <c r="AA83" s="76"/>
      <c r="AB83" s="77"/>
    </row>
    <row r="84" spans="1:28" x14ac:dyDescent="0.3">
      <c r="A84" s="1" t="s">
        <v>29</v>
      </c>
      <c r="B84" s="1" t="s">
        <v>37</v>
      </c>
      <c r="C84" s="1" t="s">
        <v>44</v>
      </c>
      <c r="D84" s="1" t="s">
        <v>46</v>
      </c>
      <c r="E84" s="30">
        <v>4.3535388085945366</v>
      </c>
      <c r="F84" s="1">
        <v>92</v>
      </c>
      <c r="G84" s="33">
        <v>29145</v>
      </c>
      <c r="H84" s="38">
        <v>5526.9794181814386</v>
      </c>
      <c r="I84" s="1">
        <v>2137</v>
      </c>
      <c r="J84" s="40">
        <f>Rawdata2[[#This Row],[Gross Order Value]]/Rawdata2[[#This Row],[Number of Orders]]</f>
        <v>2.5863263538518666</v>
      </c>
      <c r="K84" s="38">
        <v>34848</v>
      </c>
      <c r="L84" s="80">
        <f>Rawdata2[[#This Row],[Revenue]]-Rawdata2[[#This Row],[Expenses]]</f>
        <v>-5703</v>
      </c>
      <c r="M84" s="12">
        <f>Rawdata2[[#This Row],[Net Income]]/Rawdata2[[#This Row],[Revenue]]</f>
        <v>-0.19567678847143594</v>
      </c>
      <c r="AA84" s="78"/>
      <c r="AB84" s="79"/>
    </row>
    <row r="85" spans="1:28" x14ac:dyDescent="0.3">
      <c r="A85" s="1" t="s">
        <v>26</v>
      </c>
      <c r="B85" s="1" t="s">
        <v>37</v>
      </c>
      <c r="C85" s="1" t="s">
        <v>45</v>
      </c>
      <c r="D85" s="1" t="s">
        <v>48</v>
      </c>
      <c r="E85" s="30">
        <v>4.5849068286958223</v>
      </c>
      <c r="F85" s="1">
        <v>420</v>
      </c>
      <c r="G85" s="34">
        <v>3487</v>
      </c>
      <c r="H85" s="38">
        <v>15508.523802758969</v>
      </c>
      <c r="I85" s="1">
        <v>2888</v>
      </c>
      <c r="J85" s="40">
        <f>Rawdata2[[#This Row],[Gross Order Value]]/Rawdata2[[#This Row],[Number of Orders]]</f>
        <v>5.3699874663292828</v>
      </c>
      <c r="K85" s="38">
        <v>54896</v>
      </c>
      <c r="L85" s="80">
        <f>Rawdata2[[#This Row],[Revenue]]-Rawdata2[[#This Row],[Expenses]]</f>
        <v>-51409</v>
      </c>
      <c r="M85" s="12">
        <f>Rawdata2[[#This Row],[Net Income]]/Rawdata2[[#This Row],[Revenue]]</f>
        <v>-14.743045597935188</v>
      </c>
      <c r="AA85" s="76"/>
      <c r="AB85" s="77"/>
    </row>
    <row r="86" spans="1:28" x14ac:dyDescent="0.3">
      <c r="A86" s="1" t="s">
        <v>30</v>
      </c>
      <c r="B86" s="1" t="s">
        <v>38</v>
      </c>
      <c r="C86" s="1" t="s">
        <v>42</v>
      </c>
      <c r="D86" s="1" t="s">
        <v>48</v>
      </c>
      <c r="E86" s="30">
        <v>4.7189896958510182</v>
      </c>
      <c r="F86" s="1">
        <v>326</v>
      </c>
      <c r="G86" s="33">
        <v>47320</v>
      </c>
      <c r="H86" s="38">
        <v>17204.909284805039</v>
      </c>
      <c r="I86" s="1">
        <v>9237</v>
      </c>
      <c r="J86" s="40">
        <f>Rawdata2[[#This Row],[Gross Order Value]]/Rawdata2[[#This Row],[Number of Orders]]</f>
        <v>1.8626079121798245</v>
      </c>
      <c r="K86" s="38">
        <v>37008</v>
      </c>
      <c r="L86" s="80">
        <f>Rawdata2[[#This Row],[Revenue]]-Rawdata2[[#This Row],[Expenses]]</f>
        <v>10312</v>
      </c>
      <c r="M86" s="12">
        <f>Rawdata2[[#This Row],[Net Income]]/Rawdata2[[#This Row],[Revenue]]</f>
        <v>0.21792054099746408</v>
      </c>
      <c r="AA86" s="78"/>
      <c r="AB86" s="79"/>
    </row>
    <row r="87" spans="1:28" x14ac:dyDescent="0.3">
      <c r="A87" s="1" t="s">
        <v>26</v>
      </c>
      <c r="B87" s="1" t="s">
        <v>38</v>
      </c>
      <c r="C87" s="1" t="s">
        <v>49</v>
      </c>
      <c r="D87" s="1" t="s">
        <v>0</v>
      </c>
      <c r="E87" s="30">
        <v>4.2887193802916075</v>
      </c>
      <c r="F87" s="1">
        <v>174</v>
      </c>
      <c r="G87" s="34">
        <v>24804</v>
      </c>
      <c r="H87" s="38">
        <v>11997.923410820171</v>
      </c>
      <c r="I87" s="1">
        <v>6861</v>
      </c>
      <c r="J87" s="40">
        <f>Rawdata2[[#This Row],[Gross Order Value]]/Rawdata2[[#This Row],[Number of Orders]]</f>
        <v>1.7487135127270326</v>
      </c>
      <c r="K87" s="38">
        <v>38677</v>
      </c>
      <c r="L87" s="80">
        <f>Rawdata2[[#This Row],[Revenue]]-Rawdata2[[#This Row],[Expenses]]</f>
        <v>-13873</v>
      </c>
      <c r="M87" s="12">
        <f>Rawdata2[[#This Row],[Net Income]]/Rawdata2[[#This Row],[Revenue]]</f>
        <v>-0.5593049508143848</v>
      </c>
      <c r="AA87" s="76"/>
      <c r="AB87" s="77"/>
    </row>
    <row r="88" spans="1:28" x14ac:dyDescent="0.3">
      <c r="A88" s="1" t="s">
        <v>28</v>
      </c>
      <c r="B88" s="1" t="s">
        <v>38</v>
      </c>
      <c r="C88" s="1" t="s">
        <v>44</v>
      </c>
      <c r="D88" s="1" t="s">
        <v>46</v>
      </c>
      <c r="E88" s="30">
        <v>4.2691339094614706</v>
      </c>
      <c r="F88" s="1">
        <v>461</v>
      </c>
      <c r="G88" s="33">
        <v>7204</v>
      </c>
      <c r="H88" s="38">
        <v>1801.455292875527</v>
      </c>
      <c r="I88" s="1">
        <v>5188</v>
      </c>
      <c r="J88" s="40">
        <f>Rawdata2[[#This Row],[Gross Order Value]]/Rawdata2[[#This Row],[Number of Orders]]</f>
        <v>0.34723502175704068</v>
      </c>
      <c r="K88" s="38">
        <v>49746</v>
      </c>
      <c r="L88" s="80">
        <f>Rawdata2[[#This Row],[Revenue]]-Rawdata2[[#This Row],[Expenses]]</f>
        <v>-42542</v>
      </c>
      <c r="M88" s="12">
        <f>Rawdata2[[#This Row],[Net Income]]/Rawdata2[[#This Row],[Revenue]]</f>
        <v>-5.9053303720155466</v>
      </c>
      <c r="AA88" s="78"/>
      <c r="AB88" s="79"/>
    </row>
    <row r="89" spans="1:28" x14ac:dyDescent="0.3">
      <c r="A89" s="1" t="s">
        <v>29</v>
      </c>
      <c r="B89" s="1" t="s">
        <v>38</v>
      </c>
      <c r="C89" s="1" t="s">
        <v>45</v>
      </c>
      <c r="D89" s="1" t="s">
        <v>41</v>
      </c>
      <c r="E89" s="30">
        <v>4.8078971167858322</v>
      </c>
      <c r="F89" s="1">
        <v>425</v>
      </c>
      <c r="G89" s="34">
        <v>9830</v>
      </c>
      <c r="H89" s="38">
        <v>3577.511236247401</v>
      </c>
      <c r="I89" s="1">
        <v>5540</v>
      </c>
      <c r="J89" s="40">
        <f>Rawdata2[[#This Row],[Gross Order Value]]/Rawdata2[[#This Row],[Number of Orders]]</f>
        <v>0.64576015094718431</v>
      </c>
      <c r="K89" s="38">
        <v>22161</v>
      </c>
      <c r="L89" s="80">
        <f>Rawdata2[[#This Row],[Revenue]]-Rawdata2[[#This Row],[Expenses]]</f>
        <v>-12331</v>
      </c>
      <c r="M89" s="12">
        <f>Rawdata2[[#This Row],[Net Income]]/Rawdata2[[#This Row],[Revenue]]</f>
        <v>-1.2544252288911495</v>
      </c>
      <c r="AA89" s="76"/>
      <c r="AB89" s="77"/>
    </row>
    <row r="90" spans="1:28" x14ac:dyDescent="0.3">
      <c r="A90" s="1" t="s">
        <v>30</v>
      </c>
      <c r="B90" s="1" t="s">
        <v>38</v>
      </c>
      <c r="C90" s="1" t="s">
        <v>49</v>
      </c>
      <c r="D90" s="1" t="s">
        <v>43</v>
      </c>
      <c r="E90" s="30">
        <v>4.3579268547614429</v>
      </c>
      <c r="F90" s="1">
        <v>376</v>
      </c>
      <c r="G90" s="33">
        <v>3840</v>
      </c>
      <c r="H90" s="38">
        <v>10972.327060985721</v>
      </c>
      <c r="I90" s="1">
        <v>2110</v>
      </c>
      <c r="J90" s="40">
        <f>Rawdata2[[#This Row],[Gross Order Value]]/Rawdata2[[#This Row],[Number of Orders]]</f>
        <v>5.2001550052065024</v>
      </c>
      <c r="K90" s="38">
        <v>32532</v>
      </c>
      <c r="L90" s="80">
        <f>Rawdata2[[#This Row],[Revenue]]-Rawdata2[[#This Row],[Expenses]]</f>
        <v>-28692</v>
      </c>
      <c r="M90" s="12">
        <f>Rawdata2[[#This Row],[Net Income]]/Rawdata2[[#This Row],[Revenue]]</f>
        <v>-7.4718749999999998</v>
      </c>
      <c r="AA90" s="78"/>
      <c r="AB90" s="79"/>
    </row>
    <row r="91" spans="1:28" x14ac:dyDescent="0.3">
      <c r="A91" s="1" t="s">
        <v>28</v>
      </c>
      <c r="B91" s="1" t="s">
        <v>38</v>
      </c>
      <c r="C91" s="1" t="s">
        <v>49</v>
      </c>
      <c r="D91" s="1" t="s">
        <v>47</v>
      </c>
      <c r="E91" s="30">
        <v>4.2669118158151651</v>
      </c>
      <c r="F91" s="1">
        <v>198</v>
      </c>
      <c r="G91" s="34">
        <v>39961</v>
      </c>
      <c r="H91" s="38">
        <v>3837.7244628702779</v>
      </c>
      <c r="I91" s="1">
        <v>3684</v>
      </c>
      <c r="J91" s="40">
        <f>Rawdata2[[#This Row],[Gross Order Value]]/Rawdata2[[#This Row],[Number of Orders]]</f>
        <v>1.0417275957845489</v>
      </c>
      <c r="K91" s="38">
        <v>1821</v>
      </c>
      <c r="L91" s="80">
        <f>Rawdata2[[#This Row],[Revenue]]-Rawdata2[[#This Row],[Expenses]]</f>
        <v>38140</v>
      </c>
      <c r="M91" s="12">
        <f>Rawdata2[[#This Row],[Net Income]]/Rawdata2[[#This Row],[Revenue]]</f>
        <v>0.9544305698055604</v>
      </c>
      <c r="AA91" s="76"/>
      <c r="AB91" s="77"/>
    </row>
    <row r="92" spans="1:28" x14ac:dyDescent="0.3">
      <c r="A92" s="1" t="s">
        <v>26</v>
      </c>
      <c r="B92" s="1" t="s">
        <v>38</v>
      </c>
      <c r="C92" s="1" t="s">
        <v>44</v>
      </c>
      <c r="D92" s="1" t="s">
        <v>48</v>
      </c>
      <c r="E92" s="30">
        <v>4.8544448901942685</v>
      </c>
      <c r="F92" s="1">
        <v>168</v>
      </c>
      <c r="G92" s="33">
        <v>44511</v>
      </c>
      <c r="H92" s="38">
        <v>4716.4463899216234</v>
      </c>
      <c r="I92" s="1">
        <v>9730</v>
      </c>
      <c r="J92" s="40">
        <f>Rawdata2[[#This Row],[Gross Order Value]]/Rawdata2[[#This Row],[Number of Orders]]</f>
        <v>0.48473241417488422</v>
      </c>
      <c r="K92" s="38">
        <v>27300</v>
      </c>
      <c r="L92" s="80">
        <f>Rawdata2[[#This Row],[Revenue]]-Rawdata2[[#This Row],[Expenses]]</f>
        <v>17211</v>
      </c>
      <c r="M92" s="12">
        <f>Rawdata2[[#This Row],[Net Income]]/Rawdata2[[#This Row],[Revenue]]</f>
        <v>0.38666846397519716</v>
      </c>
      <c r="AA92" s="78"/>
      <c r="AB92" s="79"/>
    </row>
    <row r="93" spans="1:28" x14ac:dyDescent="0.3">
      <c r="A93" s="1">
        <v>2023</v>
      </c>
      <c r="B93" s="1" t="s">
        <v>38</v>
      </c>
      <c r="C93" s="1" t="s">
        <v>42</v>
      </c>
      <c r="D93" s="1" t="s">
        <v>0</v>
      </c>
      <c r="E93" s="30">
        <v>4.4993027480391925</v>
      </c>
      <c r="F93" s="1">
        <v>317</v>
      </c>
      <c r="G93" s="34">
        <v>21126</v>
      </c>
      <c r="H93" s="38">
        <v>12556.85809860361</v>
      </c>
      <c r="I93" s="1">
        <v>161</v>
      </c>
      <c r="J93" s="40">
        <f>Rawdata2[[#This Row],[Gross Order Value]]/Rawdata2[[#This Row],[Number of Orders]]</f>
        <v>77.992907444742926</v>
      </c>
      <c r="K93" s="38">
        <v>2468</v>
      </c>
      <c r="L93" s="80">
        <f>Rawdata2[[#This Row],[Revenue]]-Rawdata2[[#This Row],[Expenses]]</f>
        <v>18658</v>
      </c>
      <c r="M93" s="12">
        <f>Rawdata2[[#This Row],[Net Income]]/Rawdata2[[#This Row],[Revenue]]</f>
        <v>0.88317712770993084</v>
      </c>
      <c r="AA93" s="76"/>
      <c r="AB93" s="77"/>
    </row>
    <row r="94" spans="1:28" x14ac:dyDescent="0.3">
      <c r="A94" s="1" t="s">
        <v>27</v>
      </c>
      <c r="B94" s="1" t="s">
        <v>38</v>
      </c>
      <c r="C94" s="1" t="s">
        <v>42</v>
      </c>
      <c r="D94" s="1" t="s">
        <v>46</v>
      </c>
      <c r="E94" s="30">
        <v>4.6377447941132282</v>
      </c>
      <c r="F94" s="1">
        <v>126</v>
      </c>
      <c r="G94" s="33">
        <v>2221</v>
      </c>
      <c r="H94" s="38">
        <v>20617.589559886899</v>
      </c>
      <c r="I94" s="1">
        <v>4025</v>
      </c>
      <c r="J94" s="40">
        <f>Rawdata2[[#This Row],[Gross Order Value]]/Rawdata2[[#This Row],[Number of Orders]]</f>
        <v>5.122382499350782</v>
      </c>
      <c r="K94" s="38">
        <v>29875</v>
      </c>
      <c r="L94" s="80">
        <f>Rawdata2[[#This Row],[Revenue]]-Rawdata2[[#This Row],[Expenses]]</f>
        <v>-27654</v>
      </c>
      <c r="M94" s="12">
        <f>Rawdata2[[#This Row],[Net Income]]/Rawdata2[[#This Row],[Revenue]]</f>
        <v>-12.45114813147231</v>
      </c>
      <c r="AA94" s="78"/>
      <c r="AB94" s="79"/>
    </row>
    <row r="95" spans="1:28" x14ac:dyDescent="0.3">
      <c r="A95" s="1" t="s">
        <v>27</v>
      </c>
      <c r="B95" s="1" t="s">
        <v>38</v>
      </c>
      <c r="C95" s="1" t="s">
        <v>49</v>
      </c>
      <c r="D95" s="1" t="s">
        <v>41</v>
      </c>
      <c r="E95" s="30">
        <v>4.7348701835935412</v>
      </c>
      <c r="F95" s="1">
        <v>395</v>
      </c>
      <c r="G95" s="34">
        <v>33413</v>
      </c>
      <c r="H95" s="38">
        <v>16402.747643194431</v>
      </c>
      <c r="I95" s="1">
        <v>3829</v>
      </c>
      <c r="J95" s="40">
        <f>Rawdata2[[#This Row],[Gross Order Value]]/Rawdata2[[#This Row],[Number of Orders]]</f>
        <v>4.2838202254359965</v>
      </c>
      <c r="K95" s="38">
        <v>5059</v>
      </c>
      <c r="L95" s="80">
        <f>Rawdata2[[#This Row],[Revenue]]-Rawdata2[[#This Row],[Expenses]]</f>
        <v>28354</v>
      </c>
      <c r="M95" s="12">
        <f>Rawdata2[[#This Row],[Net Income]]/Rawdata2[[#This Row],[Revenue]]</f>
        <v>0.84859186544159459</v>
      </c>
      <c r="AA95" s="76"/>
      <c r="AB95" s="77"/>
    </row>
    <row r="96" spans="1:28" x14ac:dyDescent="0.3">
      <c r="A96" s="1" t="s">
        <v>26</v>
      </c>
      <c r="B96" s="1" t="s">
        <v>38</v>
      </c>
      <c r="C96" s="1" t="s">
        <v>45</v>
      </c>
      <c r="D96" s="1" t="s">
        <v>43</v>
      </c>
      <c r="E96" s="30">
        <v>4.7081218925057469</v>
      </c>
      <c r="F96" s="1">
        <v>296</v>
      </c>
      <c r="G96" s="33">
        <v>42592</v>
      </c>
      <c r="H96" s="38">
        <v>10088.763287411801</v>
      </c>
      <c r="I96" s="1">
        <v>1325</v>
      </c>
      <c r="J96" s="40">
        <f>Rawdata2[[#This Row],[Gross Order Value]]/Rawdata2[[#This Row],[Number of Orders]]</f>
        <v>7.6141609716315477</v>
      </c>
      <c r="K96" s="38">
        <v>22208</v>
      </c>
      <c r="L96" s="80">
        <f>Rawdata2[[#This Row],[Revenue]]-Rawdata2[[#This Row],[Expenses]]</f>
        <v>20384</v>
      </c>
      <c r="M96" s="12">
        <f>Rawdata2[[#This Row],[Net Income]]/Rawdata2[[#This Row],[Revenue]]</f>
        <v>0.47858752817430505</v>
      </c>
      <c r="AA96" s="78"/>
      <c r="AB96" s="79"/>
    </row>
    <row r="97" spans="1:28" x14ac:dyDescent="0.3">
      <c r="A97" s="1">
        <v>2023</v>
      </c>
      <c r="B97" s="1" t="s">
        <v>38</v>
      </c>
      <c r="C97" s="1" t="s">
        <v>45</v>
      </c>
      <c r="D97" s="1" t="s">
        <v>47</v>
      </c>
      <c r="E97" s="30">
        <v>4.2904450692798237</v>
      </c>
      <c r="F97" s="1">
        <v>156</v>
      </c>
      <c r="G97" s="34">
        <v>3917</v>
      </c>
      <c r="H97" s="38">
        <v>15594.71461018517</v>
      </c>
      <c r="I97" s="1">
        <v>8884</v>
      </c>
      <c r="J97" s="40">
        <f>Rawdata2[[#This Row],[Gross Order Value]]/Rawdata2[[#This Row],[Number of Orders]]</f>
        <v>1.7553708476120182</v>
      </c>
      <c r="K97" s="38">
        <v>48072</v>
      </c>
      <c r="L97" s="80">
        <f>Rawdata2[[#This Row],[Revenue]]-Rawdata2[[#This Row],[Expenses]]</f>
        <v>-44155</v>
      </c>
      <c r="M97" s="12">
        <f>Rawdata2[[#This Row],[Net Income]]/Rawdata2[[#This Row],[Revenue]]</f>
        <v>-11.272657646157773</v>
      </c>
      <c r="AA97" s="76"/>
      <c r="AB97" s="77"/>
    </row>
    <row r="98" spans="1:28" x14ac:dyDescent="0.3">
      <c r="A98" s="1" t="s">
        <v>26</v>
      </c>
      <c r="B98" s="1" t="s">
        <v>37</v>
      </c>
      <c r="C98" s="1" t="s">
        <v>49</v>
      </c>
      <c r="D98" s="1" t="s">
        <v>47</v>
      </c>
      <c r="E98" s="30">
        <v>4.5847291779190495</v>
      </c>
      <c r="F98" s="1">
        <v>428</v>
      </c>
      <c r="G98" s="33">
        <v>4298</v>
      </c>
      <c r="H98" s="38">
        <v>6439.2609402366661</v>
      </c>
      <c r="I98" s="1">
        <v>3933</v>
      </c>
      <c r="J98" s="40">
        <f>Rawdata2[[#This Row],[Gross Order Value]]/Rawdata2[[#This Row],[Number of Orders]]</f>
        <v>1.6372389881100091</v>
      </c>
      <c r="K98" s="38">
        <v>22589</v>
      </c>
      <c r="L98" s="80">
        <f>Rawdata2[[#This Row],[Revenue]]-Rawdata2[[#This Row],[Expenses]]</f>
        <v>-18291</v>
      </c>
      <c r="M98" s="12">
        <f>Rawdata2[[#This Row],[Net Income]]/Rawdata2[[#This Row],[Revenue]]</f>
        <v>-4.2557003257328994</v>
      </c>
      <c r="AA98" s="78"/>
      <c r="AB98" s="79"/>
    </row>
    <row r="99" spans="1:28" x14ac:dyDescent="0.3">
      <c r="A99" s="1" t="s">
        <v>27</v>
      </c>
      <c r="B99" s="1" t="s">
        <v>38</v>
      </c>
      <c r="C99" s="1" t="s">
        <v>45</v>
      </c>
      <c r="D99" s="1" t="s">
        <v>46</v>
      </c>
      <c r="E99" s="30">
        <v>4.8429486590176207</v>
      </c>
      <c r="F99" s="1">
        <v>450</v>
      </c>
      <c r="G99" s="34">
        <v>11165</v>
      </c>
      <c r="H99" s="38">
        <v>12622.461696075899</v>
      </c>
      <c r="I99" s="1">
        <v>4823</v>
      </c>
      <c r="J99" s="40">
        <f>Rawdata2[[#This Row],[Gross Order Value]]/Rawdata2[[#This Row],[Number of Orders]]</f>
        <v>2.6171390620103461</v>
      </c>
      <c r="K99" s="38">
        <v>51523</v>
      </c>
      <c r="L99" s="80">
        <f>Rawdata2[[#This Row],[Revenue]]-Rawdata2[[#This Row],[Expenses]]</f>
        <v>-40358</v>
      </c>
      <c r="M99" s="12">
        <f>Rawdata2[[#This Row],[Net Income]]/Rawdata2[[#This Row],[Revenue]]</f>
        <v>-3.6146887595163459</v>
      </c>
      <c r="AA99" s="76"/>
      <c r="AB99" s="77"/>
    </row>
    <row r="100" spans="1:28" x14ac:dyDescent="0.3">
      <c r="A100" s="1" t="s">
        <v>29</v>
      </c>
      <c r="B100" s="1" t="s">
        <v>38</v>
      </c>
      <c r="C100" s="1" t="s">
        <v>49</v>
      </c>
      <c r="D100" s="1" t="s">
        <v>46</v>
      </c>
      <c r="E100" s="30">
        <v>4.7333337679082437</v>
      </c>
      <c r="F100" s="1">
        <v>23</v>
      </c>
      <c r="G100" s="33">
        <v>2798</v>
      </c>
      <c r="H100" s="38">
        <v>19185.01050283137</v>
      </c>
      <c r="I100" s="1">
        <v>3927</v>
      </c>
      <c r="J100" s="40">
        <f>Rawdata2[[#This Row],[Gross Order Value]]/Rawdata2[[#This Row],[Number of Orders]]</f>
        <v>4.8854113834559127</v>
      </c>
      <c r="K100" s="38">
        <v>10718</v>
      </c>
      <c r="L100" s="80">
        <f>Rawdata2[[#This Row],[Revenue]]-Rawdata2[[#This Row],[Expenses]]</f>
        <v>-7920</v>
      </c>
      <c r="M100" s="12">
        <f>Rawdata2[[#This Row],[Net Income]]/Rawdata2[[#This Row],[Revenue]]</f>
        <v>-2.8305932809149392</v>
      </c>
      <c r="AA100" s="78"/>
      <c r="AB100" s="79"/>
    </row>
    <row r="101" spans="1:28" x14ac:dyDescent="0.3">
      <c r="A101" s="1">
        <v>2023</v>
      </c>
      <c r="B101" s="1" t="s">
        <v>38</v>
      </c>
      <c r="C101" s="1" t="s">
        <v>44</v>
      </c>
      <c r="D101" s="1" t="s">
        <v>46</v>
      </c>
      <c r="E101" s="30">
        <v>4.4435272308137161</v>
      </c>
      <c r="F101" s="1">
        <v>66</v>
      </c>
      <c r="G101" s="34">
        <v>2555</v>
      </c>
      <c r="H101" s="38">
        <v>15919.19609440899</v>
      </c>
      <c r="I101" s="1">
        <v>1524</v>
      </c>
      <c r="J101" s="40">
        <f>Rawdata2[[#This Row],[Gross Order Value]]/Rawdata2[[#This Row],[Number of Orders]]</f>
        <v>10.445666728614823</v>
      </c>
      <c r="K101" s="38">
        <v>48200</v>
      </c>
      <c r="L101" s="80">
        <f>Rawdata2[[#This Row],[Revenue]]-Rawdata2[[#This Row],[Expenses]]</f>
        <v>-45645</v>
      </c>
      <c r="M101" s="12">
        <f>Rawdata2[[#This Row],[Net Income]]/Rawdata2[[#This Row],[Revenue]]</f>
        <v>-17.864970645792564</v>
      </c>
      <c r="AA101" s="76"/>
      <c r="AB101" s="77"/>
    </row>
    <row r="102" spans="1:28" x14ac:dyDescent="0.3">
      <c r="A102" s="1">
        <v>2019</v>
      </c>
      <c r="B102" s="1" t="s">
        <v>35</v>
      </c>
      <c r="C102" s="1" t="s">
        <v>49</v>
      </c>
      <c r="D102" s="1" t="s">
        <v>46</v>
      </c>
      <c r="E102" s="30">
        <v>4.8600000000000003</v>
      </c>
      <c r="F102" s="1">
        <v>416</v>
      </c>
      <c r="G102" s="35">
        <v>2000</v>
      </c>
      <c r="H102" s="38">
        <v>4000</v>
      </c>
      <c r="I102" s="1">
        <v>5555</v>
      </c>
      <c r="J102" s="40">
        <f>Rawdata2[[#This Row],[Gross Order Value]]/Rawdata2[[#This Row],[Number of Orders]]</f>
        <v>0.72007200720072007</v>
      </c>
      <c r="K102" s="38">
        <v>1249</v>
      </c>
      <c r="L102" s="80">
        <f>Rawdata2[[#This Row],[Revenue]]-Rawdata2[[#This Row],[Expenses]]</f>
        <v>751</v>
      </c>
      <c r="M102" s="12">
        <f>Rawdata2[[#This Row],[Net Income]]/Rawdata2[[#This Row],[Revenue]]</f>
        <v>0.3755</v>
      </c>
      <c r="AA102" s="78"/>
      <c r="AB102" s="79"/>
    </row>
    <row r="103" spans="1:28" x14ac:dyDescent="0.3">
      <c r="A103" s="1">
        <v>2019</v>
      </c>
      <c r="B103" s="1" t="s">
        <v>36</v>
      </c>
      <c r="C103" s="1" t="s">
        <v>45</v>
      </c>
      <c r="D103" s="1" t="s">
        <v>43</v>
      </c>
      <c r="E103" s="30">
        <v>4.5599999999999996</v>
      </c>
      <c r="F103" s="1">
        <v>421</v>
      </c>
      <c r="G103" s="35">
        <v>18000</v>
      </c>
      <c r="H103" s="38">
        <v>23456</v>
      </c>
      <c r="I103" s="1">
        <v>500</v>
      </c>
      <c r="J103" s="40">
        <f>Rawdata2[[#This Row],[Gross Order Value]]/Rawdata2[[#This Row],[Number of Orders]]</f>
        <v>46.911999999999999</v>
      </c>
      <c r="K103" s="38">
        <v>38567</v>
      </c>
      <c r="L103" s="80">
        <f>Rawdata2[[#This Row],[Revenue]]-Rawdata2[[#This Row],[Expenses]]</f>
        <v>-20567</v>
      </c>
      <c r="M103" s="12">
        <f>Rawdata2[[#This Row],[Net Income]]/Rawdata2[[#This Row],[Revenue]]</f>
        <v>-1.142611111111111</v>
      </c>
      <c r="AA103" s="76"/>
      <c r="AB103" s="77"/>
    </row>
    <row r="104" spans="1:28" x14ac:dyDescent="0.3">
      <c r="A104" s="1">
        <v>2019</v>
      </c>
      <c r="B104" s="1" t="s">
        <v>36</v>
      </c>
      <c r="C104" s="1" t="s">
        <v>44</v>
      </c>
      <c r="D104" s="1" t="s">
        <v>0</v>
      </c>
      <c r="E104" s="30">
        <v>4.5599999999999996</v>
      </c>
      <c r="F104" s="1">
        <v>411</v>
      </c>
      <c r="G104" s="35">
        <v>5000</v>
      </c>
      <c r="H104" s="38">
        <v>12349</v>
      </c>
      <c r="I104" s="1">
        <v>300</v>
      </c>
      <c r="J104" s="40">
        <f>Rawdata2[[#This Row],[Gross Order Value]]/Rawdata2[[#This Row],[Number of Orders]]</f>
        <v>41.163333333333334</v>
      </c>
      <c r="K104" s="38">
        <v>46575</v>
      </c>
      <c r="L104" s="80">
        <f>Rawdata2[[#This Row],[Revenue]]-Rawdata2[[#This Row],[Expenses]]</f>
        <v>-41575</v>
      </c>
      <c r="M104" s="12">
        <f>Rawdata2[[#This Row],[Net Income]]/Rawdata2[[#This Row],[Revenue]]</f>
        <v>-8.3149999999999995</v>
      </c>
      <c r="AA104" s="78"/>
      <c r="AB104" s="79"/>
    </row>
    <row r="105" spans="1:28" x14ac:dyDescent="0.3">
      <c r="A105" s="1">
        <v>2019</v>
      </c>
      <c r="B105" s="1" t="s">
        <v>37</v>
      </c>
      <c r="C105" s="1" t="s">
        <v>42</v>
      </c>
      <c r="D105" s="1" t="s">
        <v>41</v>
      </c>
      <c r="E105" s="30">
        <v>4.5849068286958223</v>
      </c>
      <c r="F105" s="1">
        <v>420</v>
      </c>
      <c r="G105" s="34">
        <v>3487</v>
      </c>
      <c r="H105" s="38">
        <v>15508.523802758969</v>
      </c>
      <c r="I105" s="1">
        <v>2888</v>
      </c>
      <c r="J105" s="40">
        <f>Rawdata2[[#This Row],[Gross Order Value]]/Rawdata2[[#This Row],[Number of Orders]]</f>
        <v>5.3699874663292828</v>
      </c>
      <c r="K105" s="38">
        <v>9645</v>
      </c>
      <c r="L105" s="80">
        <f>Rawdata2[[#This Row],[Revenue]]-Rawdata2[[#This Row],[Expenses]]</f>
        <v>-6158</v>
      </c>
      <c r="M105" s="12">
        <f>Rawdata2[[#This Row],[Net Income]]/Rawdata2[[#This Row],[Revenue]]</f>
        <v>-1.7659879552624032</v>
      </c>
      <c r="AA105" s="76"/>
      <c r="AB105" s="77"/>
    </row>
    <row r="106" spans="1:28" x14ac:dyDescent="0.3">
      <c r="A106" s="1">
        <v>2019</v>
      </c>
      <c r="B106" s="1" t="s">
        <v>37</v>
      </c>
      <c r="C106" s="1" t="s">
        <v>44</v>
      </c>
      <c r="D106" s="1" t="s">
        <v>46</v>
      </c>
      <c r="E106" s="30">
        <v>4.5847291779190495</v>
      </c>
      <c r="F106" s="1">
        <v>428</v>
      </c>
      <c r="G106" s="33">
        <v>4298</v>
      </c>
      <c r="H106" s="38">
        <v>6439.2609402366661</v>
      </c>
      <c r="I106" s="1">
        <v>3933</v>
      </c>
      <c r="J106" s="40">
        <f>Rawdata2[[#This Row],[Gross Order Value]]/Rawdata2[[#This Row],[Number of Orders]]</f>
        <v>1.6372389881100091</v>
      </c>
      <c r="K106" s="38">
        <v>20199</v>
      </c>
      <c r="L106" s="80">
        <f>Rawdata2[[#This Row],[Revenue]]-Rawdata2[[#This Row],[Expenses]]</f>
        <v>-15901</v>
      </c>
      <c r="M106" s="12">
        <f>Rawdata2[[#This Row],[Net Income]]/Rawdata2[[#This Row],[Revenue]]</f>
        <v>-3.6996277338296881</v>
      </c>
      <c r="AA106" s="78"/>
      <c r="AB106" s="79"/>
    </row>
    <row r="107" spans="1:28" x14ac:dyDescent="0.3">
      <c r="A107" s="1">
        <v>2020</v>
      </c>
      <c r="B107" s="1" t="s">
        <v>35</v>
      </c>
      <c r="C107" s="1" t="s">
        <v>45</v>
      </c>
      <c r="D107" s="1" t="s">
        <v>46</v>
      </c>
      <c r="E107" s="30">
        <v>4.7699999999999996</v>
      </c>
      <c r="F107" s="1">
        <v>340</v>
      </c>
      <c r="G107" s="35">
        <v>20000</v>
      </c>
      <c r="H107" s="39">
        <v>13000</v>
      </c>
      <c r="I107" s="1">
        <v>10000</v>
      </c>
      <c r="J107" s="41">
        <f>Rawdata2[[#This Row],[Gross Order Value]]/Rawdata2[[#This Row],[Number of Orders]]</f>
        <v>1.3</v>
      </c>
      <c r="K107" s="39">
        <v>30366</v>
      </c>
      <c r="L107" s="80">
        <f>Rawdata2[[#This Row],[Revenue]]-Rawdata2[[#This Row],[Expenses]]</f>
        <v>-10366</v>
      </c>
      <c r="M107" s="12">
        <f>Rawdata2[[#This Row],[Net Income]]/Rawdata2[[#This Row],[Revenue]]</f>
        <v>-0.51829999999999998</v>
      </c>
      <c r="AA107" s="76"/>
      <c r="AB107" s="77"/>
    </row>
    <row r="108" spans="1:28" x14ac:dyDescent="0.3">
      <c r="A108" s="1">
        <v>2021</v>
      </c>
      <c r="B108" s="1" t="s">
        <v>36</v>
      </c>
      <c r="C108" s="1" t="s">
        <v>44</v>
      </c>
      <c r="D108" s="1" t="s">
        <v>43</v>
      </c>
      <c r="E108" s="30">
        <v>4.9800000000000004</v>
      </c>
      <c r="F108" s="1">
        <v>125</v>
      </c>
      <c r="G108" s="35">
        <v>14989</v>
      </c>
      <c r="H108" s="39">
        <v>1400</v>
      </c>
      <c r="I108" s="1">
        <v>9000</v>
      </c>
      <c r="J108" s="41">
        <f>Rawdata2[[#This Row],[Gross Order Value]]/Rawdata2[[#This Row],[Number of Orders]]</f>
        <v>0.15555555555555556</v>
      </c>
      <c r="K108" s="39">
        <v>6167</v>
      </c>
      <c r="L108" s="80">
        <f>Rawdata2[[#This Row],[Revenue]]-Rawdata2[[#This Row],[Expenses]]</f>
        <v>8822</v>
      </c>
      <c r="M108" s="12">
        <f>Rawdata2[[#This Row],[Net Income]]/Rawdata2[[#This Row],[Revenue]]</f>
        <v>0.58856494762826073</v>
      </c>
      <c r="AA108" s="78"/>
      <c r="AB108" s="79"/>
    </row>
    <row r="109" spans="1:28" x14ac:dyDescent="0.3">
      <c r="A109" s="1">
        <v>2022</v>
      </c>
      <c r="B109" s="1" t="s">
        <v>38</v>
      </c>
      <c r="C109" s="1" t="s">
        <v>44</v>
      </c>
      <c r="D109" s="1" t="s">
        <v>43</v>
      </c>
      <c r="E109" s="30">
        <v>4.6500000000000004</v>
      </c>
      <c r="F109" s="1">
        <v>43</v>
      </c>
      <c r="G109" s="35">
        <v>9000</v>
      </c>
      <c r="H109" s="39">
        <v>20000</v>
      </c>
      <c r="I109" s="1">
        <v>2354</v>
      </c>
      <c r="J109" s="41">
        <f>Rawdata2[[#This Row],[Gross Order Value]]/Rawdata2[[#This Row],[Number of Orders]]</f>
        <v>8.4961767204757859</v>
      </c>
      <c r="K109" s="39">
        <v>46348</v>
      </c>
      <c r="L109" s="80">
        <f>Rawdata2[[#This Row],[Revenue]]-Rawdata2[[#This Row],[Expenses]]</f>
        <v>-37348</v>
      </c>
      <c r="M109" s="12">
        <f>Rawdata2[[#This Row],[Net Income]]/Rawdata2[[#This Row],[Revenue]]</f>
        <v>-4.1497777777777776</v>
      </c>
      <c r="AA109" s="76"/>
      <c r="AB109" s="77"/>
    </row>
    <row r="110" spans="1:28" x14ac:dyDescent="0.3">
      <c r="A110" s="1">
        <v>2022</v>
      </c>
      <c r="B110" s="1" t="s">
        <v>36</v>
      </c>
      <c r="C110" s="1" t="s">
        <v>42</v>
      </c>
      <c r="D110" s="1" t="s">
        <v>46</v>
      </c>
      <c r="E110" s="30">
        <v>4.87</v>
      </c>
      <c r="F110" s="1">
        <v>400</v>
      </c>
      <c r="G110" s="35">
        <v>25000</v>
      </c>
      <c r="H110" s="39">
        <v>5000</v>
      </c>
      <c r="I110" s="1">
        <v>9000</v>
      </c>
      <c r="J110" s="41">
        <f>Rawdata2[[#This Row],[Gross Order Value]]/Rawdata2[[#This Row],[Number of Orders]]</f>
        <v>0.55555555555555558</v>
      </c>
      <c r="K110" s="39">
        <v>31157</v>
      </c>
      <c r="L110" s="80">
        <f>Rawdata2[[#This Row],[Revenue]]-Rawdata2[[#This Row],[Expenses]]</f>
        <v>-6157</v>
      </c>
      <c r="M110" s="12">
        <f>Rawdata2[[#This Row],[Net Income]]/Rawdata2[[#This Row],[Revenue]]</f>
        <v>-0.24628</v>
      </c>
      <c r="AA110" s="78"/>
      <c r="AB110" s="79"/>
    </row>
    <row r="111" spans="1:28" x14ac:dyDescent="0.3">
      <c r="AA111" s="76"/>
      <c r="AB111" s="77"/>
    </row>
    <row r="112" spans="1:28" x14ac:dyDescent="0.3">
      <c r="AA112" s="78"/>
      <c r="AB112" s="79"/>
    </row>
    <row r="113" spans="27:28" x14ac:dyDescent="0.3">
      <c r="AA113" s="76"/>
      <c r="AB113" s="77"/>
    </row>
    <row r="114" spans="27:28" x14ac:dyDescent="0.3">
      <c r="AA114" s="78"/>
      <c r="AB114" s="79"/>
    </row>
    <row r="115" spans="27:28" x14ac:dyDescent="0.3">
      <c r="AA115" s="76"/>
      <c r="AB115" s="77"/>
    </row>
    <row r="116" spans="27:28" x14ac:dyDescent="0.3">
      <c r="AA116" s="78"/>
      <c r="AB116" s="79"/>
    </row>
    <row r="117" spans="27:28" x14ac:dyDescent="0.3">
      <c r="AA117" s="76"/>
      <c r="AB117" s="77"/>
    </row>
    <row r="118" spans="27:28" x14ac:dyDescent="0.3">
      <c r="AA118" s="78"/>
      <c r="AB118" s="79"/>
    </row>
    <row r="119" spans="27:28" x14ac:dyDescent="0.3">
      <c r="AA119" s="76"/>
      <c r="AB119" s="77"/>
    </row>
    <row r="120" spans="27:28" x14ac:dyDescent="0.3">
      <c r="AA120" s="78"/>
      <c r="AB120" s="79"/>
    </row>
    <row r="121" spans="27:28" x14ac:dyDescent="0.3">
      <c r="AA121" s="76"/>
      <c r="AB121" s="77"/>
    </row>
    <row r="122" spans="27:28" x14ac:dyDescent="0.3">
      <c r="AA122" s="78"/>
      <c r="AB122" s="79"/>
    </row>
    <row r="123" spans="27:28" x14ac:dyDescent="0.3">
      <c r="AA123" s="76"/>
      <c r="AB123" s="77"/>
    </row>
    <row r="124" spans="27:28" x14ac:dyDescent="0.3">
      <c r="AA124" s="78"/>
      <c r="AB124" s="79"/>
    </row>
    <row r="125" spans="27:28" x14ac:dyDescent="0.3">
      <c r="AA125" s="76"/>
      <c r="AB125" s="77"/>
    </row>
    <row r="126" spans="27:28" x14ac:dyDescent="0.3">
      <c r="AA126" s="78"/>
      <c r="AB126" s="79"/>
    </row>
    <row r="127" spans="27:28" x14ac:dyDescent="0.3">
      <c r="AA127" s="76"/>
      <c r="AB127" s="77"/>
    </row>
    <row r="128" spans="27:28" x14ac:dyDescent="0.3">
      <c r="AA128" s="78"/>
      <c r="AB128" s="79"/>
    </row>
    <row r="129" spans="27:28" x14ac:dyDescent="0.3">
      <c r="AA129" s="76"/>
      <c r="AB129" s="77"/>
    </row>
    <row r="130" spans="27:28" x14ac:dyDescent="0.3">
      <c r="AA130" s="78"/>
      <c r="AB130" s="79"/>
    </row>
    <row r="131" spans="27:28" x14ac:dyDescent="0.3">
      <c r="AA131" s="76"/>
      <c r="AB131" s="77"/>
    </row>
    <row r="132" spans="27:28" x14ac:dyDescent="0.3">
      <c r="AA132" s="78"/>
      <c r="AB132" s="79"/>
    </row>
    <row r="133" spans="27:28" x14ac:dyDescent="0.3">
      <c r="AA133" s="76"/>
      <c r="AB133" s="77"/>
    </row>
    <row r="134" spans="27:28" x14ac:dyDescent="0.3">
      <c r="AA134" s="78"/>
      <c r="AB134" s="79"/>
    </row>
    <row r="135" spans="27:28" x14ac:dyDescent="0.3">
      <c r="AA135" s="76"/>
      <c r="AB135" s="77"/>
    </row>
    <row r="136" spans="27:28" x14ac:dyDescent="0.3">
      <c r="AA136" s="78"/>
      <c r="AB136" s="79"/>
    </row>
    <row r="137" spans="27:28" x14ac:dyDescent="0.3">
      <c r="AA137" s="76"/>
      <c r="AB137" s="77"/>
    </row>
    <row r="138" spans="27:28" x14ac:dyDescent="0.3">
      <c r="AA138" s="78"/>
      <c r="AB138" s="79"/>
    </row>
    <row r="139" spans="27:28" x14ac:dyDescent="0.3">
      <c r="AA139" s="76"/>
      <c r="AB139" s="77"/>
    </row>
    <row r="140" spans="27:28" x14ac:dyDescent="0.3">
      <c r="AA140" s="78"/>
      <c r="AB140" s="79"/>
    </row>
    <row r="141" spans="27:28" x14ac:dyDescent="0.3">
      <c r="AA141" s="76"/>
      <c r="AB141" s="77"/>
    </row>
    <row r="142" spans="27:28" x14ac:dyDescent="0.3">
      <c r="AA142" s="78"/>
      <c r="AB142" s="79"/>
    </row>
    <row r="143" spans="27:28" x14ac:dyDescent="0.3">
      <c r="AA143" s="76"/>
      <c r="AB143" s="77"/>
    </row>
    <row r="144" spans="27:28" x14ac:dyDescent="0.3">
      <c r="AA144" s="78"/>
      <c r="AB144" s="79"/>
    </row>
    <row r="145" spans="27:28" x14ac:dyDescent="0.3">
      <c r="AA145" s="76"/>
      <c r="AB145" s="77"/>
    </row>
    <row r="146" spans="27:28" x14ac:dyDescent="0.3">
      <c r="AA146" s="78"/>
      <c r="AB146" s="79"/>
    </row>
    <row r="147" spans="27:28" x14ac:dyDescent="0.3">
      <c r="AA147" s="76"/>
      <c r="AB147" s="77"/>
    </row>
    <row r="148" spans="27:28" x14ac:dyDescent="0.3">
      <c r="AA148" s="78"/>
      <c r="AB148" s="79"/>
    </row>
    <row r="149" spans="27:28" x14ac:dyDescent="0.3">
      <c r="AA149" s="76"/>
      <c r="AB149" s="77"/>
    </row>
    <row r="150" spans="27:28" x14ac:dyDescent="0.3">
      <c r="AA150" s="78"/>
      <c r="AB150" s="79"/>
    </row>
    <row r="151" spans="27:28" x14ac:dyDescent="0.3">
      <c r="AA151" s="76"/>
      <c r="AB151" s="77"/>
    </row>
    <row r="152" spans="27:28" x14ac:dyDescent="0.3">
      <c r="AA152" s="78"/>
      <c r="AB152" s="79"/>
    </row>
    <row r="153" spans="27:28" x14ac:dyDescent="0.3">
      <c r="AA153" s="76"/>
      <c r="AB153" s="77"/>
    </row>
    <row r="154" spans="27:28" x14ac:dyDescent="0.3">
      <c r="AA154" s="78"/>
      <c r="AB154" s="79"/>
    </row>
    <row r="155" spans="27:28" x14ac:dyDescent="0.3">
      <c r="AA155" s="76"/>
      <c r="AB155" s="77"/>
    </row>
    <row r="156" spans="27:28" x14ac:dyDescent="0.3">
      <c r="AA156" s="78"/>
      <c r="AB156" s="79"/>
    </row>
    <row r="157" spans="27:28" x14ac:dyDescent="0.3">
      <c r="AA157" s="76"/>
      <c r="AB157" s="77"/>
    </row>
    <row r="158" spans="27:28" x14ac:dyDescent="0.3">
      <c r="AA158" s="78"/>
      <c r="AB158" s="79"/>
    </row>
    <row r="159" spans="27:28" x14ac:dyDescent="0.3">
      <c r="AA159" s="76"/>
      <c r="AB159" s="77"/>
    </row>
    <row r="160" spans="27:28" x14ac:dyDescent="0.3">
      <c r="AA160" s="78"/>
      <c r="AB160" s="79"/>
    </row>
    <row r="161" spans="27:28" x14ac:dyDescent="0.3">
      <c r="AA161" s="76"/>
      <c r="AB161" s="77"/>
    </row>
    <row r="162" spans="27:28" x14ac:dyDescent="0.3">
      <c r="AA162" s="78"/>
      <c r="AB162" s="79"/>
    </row>
    <row r="163" spans="27:28" x14ac:dyDescent="0.3">
      <c r="AA163" s="76"/>
      <c r="AB163" s="77"/>
    </row>
    <row r="164" spans="27:28" x14ac:dyDescent="0.3">
      <c r="AA164" s="78"/>
      <c r="AB164" s="79"/>
    </row>
    <row r="165" spans="27:28" x14ac:dyDescent="0.3">
      <c r="AA165" s="76"/>
      <c r="AB165" s="77"/>
    </row>
    <row r="166" spans="27:28" x14ac:dyDescent="0.3">
      <c r="AA166" s="78"/>
      <c r="AB166" s="79"/>
    </row>
    <row r="167" spans="27:28" x14ac:dyDescent="0.3">
      <c r="AA167" s="76"/>
      <c r="AB167" s="77"/>
    </row>
    <row r="168" spans="27:28" x14ac:dyDescent="0.3">
      <c r="AA168" s="78"/>
      <c r="AB168" s="79"/>
    </row>
    <row r="169" spans="27:28" x14ac:dyDescent="0.3">
      <c r="AA169" s="76"/>
      <c r="AB169" s="77"/>
    </row>
    <row r="170" spans="27:28" x14ac:dyDescent="0.3">
      <c r="AA170" s="78"/>
      <c r="AB170" s="79"/>
    </row>
    <row r="171" spans="27:28" x14ac:dyDescent="0.3">
      <c r="AA171" s="76"/>
      <c r="AB171" s="77"/>
    </row>
    <row r="172" spans="27:28" x14ac:dyDescent="0.3">
      <c r="AA172" s="78"/>
      <c r="AB172" s="79"/>
    </row>
    <row r="173" spans="27:28" x14ac:dyDescent="0.3">
      <c r="AA173" s="76"/>
      <c r="AB173" s="77"/>
    </row>
    <row r="174" spans="27:28" x14ac:dyDescent="0.3">
      <c r="AA174" s="78"/>
      <c r="AB174" s="79"/>
    </row>
    <row r="175" spans="27:28" x14ac:dyDescent="0.3">
      <c r="AA175" s="76"/>
      <c r="AB175" s="77"/>
    </row>
    <row r="176" spans="27:28" x14ac:dyDescent="0.3">
      <c r="AA176" s="78"/>
      <c r="AB176" s="79"/>
    </row>
    <row r="177" spans="27:28" x14ac:dyDescent="0.3">
      <c r="AA177" s="76"/>
      <c r="AB177" s="77"/>
    </row>
    <row r="178" spans="27:28" x14ac:dyDescent="0.3">
      <c r="AA178" s="78"/>
      <c r="AB178" s="79"/>
    </row>
    <row r="179" spans="27:28" x14ac:dyDescent="0.3">
      <c r="AA179" s="76"/>
      <c r="AB179" s="77"/>
    </row>
    <row r="180" spans="27:28" x14ac:dyDescent="0.3">
      <c r="AA180" s="78"/>
      <c r="AB180" s="79"/>
    </row>
    <row r="181" spans="27:28" x14ac:dyDescent="0.3">
      <c r="AA181" s="76"/>
      <c r="AB181" s="77"/>
    </row>
    <row r="182" spans="27:28" x14ac:dyDescent="0.3">
      <c r="AA182" s="78"/>
      <c r="AB182" s="79"/>
    </row>
    <row r="183" spans="27:28" x14ac:dyDescent="0.3">
      <c r="AA183" s="76"/>
      <c r="AB183" s="77"/>
    </row>
    <row r="184" spans="27:28" x14ac:dyDescent="0.3">
      <c r="AA184" s="78"/>
      <c r="AB184" s="79"/>
    </row>
    <row r="185" spans="27:28" x14ac:dyDescent="0.3">
      <c r="AA185" s="76"/>
      <c r="AB185" s="77"/>
    </row>
    <row r="186" spans="27:28" x14ac:dyDescent="0.3">
      <c r="AA186" s="78"/>
      <c r="AB186" s="79"/>
    </row>
    <row r="187" spans="27:28" x14ac:dyDescent="0.3">
      <c r="AA187" s="76"/>
      <c r="AB187" s="77"/>
    </row>
    <row r="188" spans="27:28" x14ac:dyDescent="0.3">
      <c r="AA188" s="78"/>
      <c r="AB188" s="79"/>
    </row>
    <row r="189" spans="27:28" x14ac:dyDescent="0.3">
      <c r="AA189" s="76"/>
      <c r="AB189" s="77"/>
    </row>
    <row r="190" spans="27:28" x14ac:dyDescent="0.3">
      <c r="AA190" s="78"/>
      <c r="AB190" s="79"/>
    </row>
    <row r="191" spans="27:28" x14ac:dyDescent="0.3">
      <c r="AA191" s="76"/>
      <c r="AB191" s="77"/>
    </row>
  </sheetData>
  <phoneticPr fontId="24" type="noConversion"/>
  <pageMargins left="0.7" right="0.7" top="0.75" bottom="0.75" header="0.3" footer="0.3"/>
  <ignoredErrors>
    <ignoredError sqref="A2:A11 A13:A110" numberStoredAsText="1"/>
  </ignoredErrors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83B60-7D7D-42A4-9DDE-172AD35DCC04}">
  <sheetPr codeName="Sheet9"/>
  <dimension ref="A1:B10"/>
  <sheetViews>
    <sheetView workbookViewId="0">
      <selection sqref="A1:B10"/>
    </sheetView>
  </sheetViews>
  <sheetFormatPr defaultRowHeight="14.4" x14ac:dyDescent="0.3"/>
  <sheetData>
    <row r="1" spans="1:2" x14ac:dyDescent="0.3">
      <c r="A1" s="13" t="s">
        <v>25</v>
      </c>
      <c r="B1" s="3" t="s">
        <v>30</v>
      </c>
    </row>
    <row r="2" spans="1:2" x14ac:dyDescent="0.3">
      <c r="A2" s="8" t="s">
        <v>7</v>
      </c>
      <c r="B2" s="16">
        <v>-0.97130670802636676</v>
      </c>
    </row>
    <row r="3" spans="1:2" x14ac:dyDescent="0.3">
      <c r="A3" s="9" t="s">
        <v>2</v>
      </c>
      <c r="B3" s="17">
        <v>-0.56341345154810551</v>
      </c>
    </row>
    <row r="4" spans="1:2" x14ac:dyDescent="0.3">
      <c r="A4" s="8" t="s">
        <v>1</v>
      </c>
      <c r="B4" s="16">
        <v>-2.6845143970874858E-2</v>
      </c>
    </row>
    <row r="5" spans="1:2" x14ac:dyDescent="0.3">
      <c r="A5" s="9" t="s">
        <v>6</v>
      </c>
      <c r="B5" s="17">
        <v>6.6982013548236394E-2</v>
      </c>
    </row>
    <row r="6" spans="1:2" x14ac:dyDescent="0.3">
      <c r="A6" s="8" t="s">
        <v>19</v>
      </c>
      <c r="B6" s="16">
        <v>0.25480647609410573</v>
      </c>
    </row>
    <row r="7" spans="1:2" x14ac:dyDescent="0.3">
      <c r="A7" s="9" t="s">
        <v>4</v>
      </c>
      <c r="B7" s="17">
        <v>0.56681279428478648</v>
      </c>
    </row>
    <row r="8" spans="1:2" x14ac:dyDescent="0.3">
      <c r="A8" s="8" t="s">
        <v>8</v>
      </c>
      <c r="B8" s="16">
        <v>-0.40345043914680051</v>
      </c>
    </row>
    <row r="9" spans="1:2" x14ac:dyDescent="0.3">
      <c r="A9" s="9" t="s">
        <v>3</v>
      </c>
      <c r="B9" s="17">
        <v>0.52269706368067026</v>
      </c>
    </row>
    <row r="10" spans="1:2" x14ac:dyDescent="0.3">
      <c r="A10" s="8" t="s">
        <v>5</v>
      </c>
      <c r="B10" s="16">
        <v>-0.14912409115307665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7061E-EBBD-4BD0-BB66-A05C389FEEFD}">
  <sheetPr codeName="Sheet8"/>
  <dimension ref="A1:B10"/>
  <sheetViews>
    <sheetView workbookViewId="0">
      <selection sqref="A1:B10"/>
    </sheetView>
  </sheetViews>
  <sheetFormatPr defaultRowHeight="14.4" x14ac:dyDescent="0.3"/>
  <sheetData>
    <row r="1" spans="1:2" x14ac:dyDescent="0.3">
      <c r="A1" s="13" t="s">
        <v>25</v>
      </c>
      <c r="B1" s="2" t="s">
        <v>29</v>
      </c>
    </row>
    <row r="2" spans="1:2" x14ac:dyDescent="0.3">
      <c r="A2" s="8" t="s">
        <v>7</v>
      </c>
      <c r="B2" s="14">
        <v>1.9826907946498822E-2</v>
      </c>
    </row>
    <row r="3" spans="1:2" x14ac:dyDescent="0.3">
      <c r="A3" s="9" t="s">
        <v>2</v>
      </c>
      <c r="B3" s="15">
        <v>0.39993797350582605</v>
      </c>
    </row>
    <row r="4" spans="1:2" x14ac:dyDescent="0.3">
      <c r="A4" s="8" t="s">
        <v>1</v>
      </c>
      <c r="B4" s="14">
        <v>0.68807076603516815</v>
      </c>
    </row>
    <row r="5" spans="1:2" x14ac:dyDescent="0.3">
      <c r="A5" s="9" t="s">
        <v>6</v>
      </c>
      <c r="B5" s="15">
        <v>0.20310446266508106</v>
      </c>
    </row>
    <row r="6" spans="1:2" x14ac:dyDescent="0.3">
      <c r="A6" s="8" t="s">
        <v>19</v>
      </c>
      <c r="B6" s="14">
        <v>-4.1288296698633625E-2</v>
      </c>
    </row>
    <row r="7" spans="1:2" x14ac:dyDescent="0.3">
      <c r="A7" s="9" t="s">
        <v>4</v>
      </c>
      <c r="B7" s="15">
        <v>-0.51529235382308847</v>
      </c>
    </row>
    <row r="8" spans="1:2" x14ac:dyDescent="0.3">
      <c r="A8" s="8" t="s">
        <v>8</v>
      </c>
      <c r="B8" s="14">
        <v>-0.14880872558222699</v>
      </c>
    </row>
    <row r="9" spans="1:2" x14ac:dyDescent="0.3">
      <c r="A9" s="9" t="s">
        <v>3</v>
      </c>
      <c r="B9" s="15">
        <v>-1.2614345991561182</v>
      </c>
    </row>
    <row r="10" spans="1:2" x14ac:dyDescent="0.3">
      <c r="A10" s="8" t="s">
        <v>5</v>
      </c>
      <c r="B10" s="14">
        <v>0.48205868614378528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BFBA-3EFA-4BB9-88D6-EC6AB7FB33D7}">
  <sheetPr codeName="Sheet7"/>
  <dimension ref="A1:B10"/>
  <sheetViews>
    <sheetView workbookViewId="0">
      <selection sqref="A1:B10"/>
    </sheetView>
  </sheetViews>
  <sheetFormatPr defaultRowHeight="14.4" x14ac:dyDescent="0.3"/>
  <sheetData>
    <row r="1" spans="1:2" x14ac:dyDescent="0.3">
      <c r="A1" s="13" t="s">
        <v>25</v>
      </c>
      <c r="B1" s="2" t="s">
        <v>28</v>
      </c>
    </row>
    <row r="2" spans="1:2" x14ac:dyDescent="0.3">
      <c r="A2" s="8" t="s">
        <v>7</v>
      </c>
      <c r="B2" s="14">
        <v>0.51075614063252528</v>
      </c>
    </row>
    <row r="3" spans="1:2" x14ac:dyDescent="0.3">
      <c r="A3" s="9" t="s">
        <v>2</v>
      </c>
      <c r="B3" s="15">
        <v>0.11820732427643237</v>
      </c>
    </row>
    <row r="4" spans="1:2" x14ac:dyDescent="0.3">
      <c r="A4" s="8" t="s">
        <v>1</v>
      </c>
      <c r="B4" s="14">
        <v>-0.24753157290470723</v>
      </c>
    </row>
    <row r="5" spans="1:2" x14ac:dyDescent="0.3">
      <c r="A5" s="9" t="s">
        <v>6</v>
      </c>
      <c r="B5" s="15">
        <v>-5.647188187244738E-2</v>
      </c>
    </row>
    <row r="6" spans="1:2" x14ac:dyDescent="0.3">
      <c r="A6" s="8" t="s">
        <v>19</v>
      </c>
      <c r="B6" s="14">
        <v>0.55503484249561919</v>
      </c>
    </row>
    <row r="7" spans="1:2" x14ac:dyDescent="0.3">
      <c r="A7" s="9" t="s">
        <v>4</v>
      </c>
      <c r="B7" s="15">
        <v>0.86341149698228947</v>
      </c>
    </row>
    <row r="8" spans="1:2" x14ac:dyDescent="0.3">
      <c r="A8" s="8" t="s">
        <v>8</v>
      </c>
      <c r="B8" s="14">
        <v>0.76852140077821007</v>
      </c>
    </row>
    <row r="9" spans="1:2" x14ac:dyDescent="0.3">
      <c r="A9" s="9" t="s">
        <v>3</v>
      </c>
      <c r="B9" s="15">
        <v>0.76964698858123737</v>
      </c>
    </row>
    <row r="10" spans="1:2" x14ac:dyDescent="0.3">
      <c r="A10" s="8" t="s">
        <v>5</v>
      </c>
      <c r="B10" s="14">
        <v>-6.3458227432975328E-2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2A96C-BF75-49CB-9AD7-CFF8E53E1240}">
  <sheetPr>
    <tabColor theme="9" tint="0.39997558519241921"/>
  </sheetPr>
  <dimension ref="A1:Q101"/>
  <sheetViews>
    <sheetView topLeftCell="G38" zoomScale="68" workbookViewId="0">
      <selection activeCell="K30" sqref="K30"/>
    </sheetView>
  </sheetViews>
  <sheetFormatPr defaultRowHeight="14.4" x14ac:dyDescent="0.3"/>
  <cols>
    <col min="1" max="1" width="12.33203125" customWidth="1"/>
    <col min="2" max="2" width="19.77734375" customWidth="1"/>
    <col min="3" max="3" width="21.6640625" bestFit="1" customWidth="1"/>
    <col min="4" max="4" width="18.44140625" customWidth="1"/>
    <col min="5" max="5" width="12.44140625" customWidth="1"/>
    <col min="6" max="6" width="15" customWidth="1"/>
    <col min="7" max="7" width="22.88671875" customWidth="1"/>
    <col min="8" max="8" width="15.77734375" customWidth="1"/>
    <col min="9" max="9" width="23.21875" customWidth="1"/>
    <col min="10" max="10" width="15" customWidth="1"/>
    <col min="11" max="11" width="25.77734375" customWidth="1"/>
    <col min="12" max="12" width="15.6640625" customWidth="1"/>
    <col min="13" max="13" width="15.5546875" customWidth="1"/>
    <col min="14" max="14" width="22.88671875" customWidth="1"/>
    <col min="15" max="15" width="11.33203125" customWidth="1"/>
    <col min="16" max="16" width="11.44140625" customWidth="1"/>
    <col min="17" max="17" width="6.33203125" customWidth="1"/>
  </cols>
  <sheetData>
    <row r="1" spans="1:17" x14ac:dyDescent="0.3">
      <c r="A1" s="1" t="s">
        <v>79</v>
      </c>
      <c r="B1" s="1" t="s">
        <v>80</v>
      </c>
      <c r="C1" s="1" t="s">
        <v>93</v>
      </c>
      <c r="D1" s="1" t="s">
        <v>95</v>
      </c>
      <c r="E1" s="1" t="s">
        <v>78</v>
      </c>
      <c r="F1" s="1" t="s">
        <v>91</v>
      </c>
      <c r="G1" s="1" t="s">
        <v>77</v>
      </c>
      <c r="H1" s="1" t="s">
        <v>76</v>
      </c>
      <c r="I1" s="1" t="s">
        <v>75</v>
      </c>
      <c r="J1" s="1" t="s">
        <v>74</v>
      </c>
      <c r="K1" s="1" t="s">
        <v>73</v>
      </c>
      <c r="L1" s="1" t="s">
        <v>72</v>
      </c>
      <c r="M1" s="1" t="s">
        <v>71</v>
      </c>
      <c r="N1" s="1" t="s">
        <v>70</v>
      </c>
      <c r="O1" s="1" t="s">
        <v>69</v>
      </c>
      <c r="P1" s="1" t="s">
        <v>68</v>
      </c>
      <c r="Q1" s="1" t="s">
        <v>67</v>
      </c>
    </row>
    <row r="2" spans="1:17" x14ac:dyDescent="0.3">
      <c r="A2" s="1" t="s">
        <v>81</v>
      </c>
      <c r="B2" s="1" t="s">
        <v>45</v>
      </c>
      <c r="C2" s="1" t="s">
        <v>88</v>
      </c>
      <c r="D2" s="1" t="s">
        <v>82</v>
      </c>
      <c r="E2" s="54">
        <v>45497.298472615737</v>
      </c>
      <c r="F2" s="54">
        <v>45497.301944837964</v>
      </c>
      <c r="G2" s="1">
        <v>5</v>
      </c>
      <c r="H2" s="1">
        <v>951</v>
      </c>
      <c r="I2" s="1">
        <v>25</v>
      </c>
      <c r="J2" s="1">
        <v>968</v>
      </c>
      <c r="K2" s="12">
        <f>(Table14[[#This Row],[Customers End]]-Table14[[#This Row],[New Customers Acquired]])/Table14[[#This Row],[Customers Start]]</f>
        <v>0.99158780231335442</v>
      </c>
      <c r="L2" s="1">
        <v>103</v>
      </c>
      <c r="M2" s="1">
        <v>24</v>
      </c>
      <c r="N2" s="30">
        <v>23.300970873786401</v>
      </c>
      <c r="O2" s="1">
        <v>93</v>
      </c>
      <c r="P2" s="1">
        <v>9</v>
      </c>
      <c r="Q2" s="1">
        <f>Table14[[#This Row],[Promoters]]-Table14[[#This Row],[Detractors]]</f>
        <v>84</v>
      </c>
    </row>
    <row r="3" spans="1:17" x14ac:dyDescent="0.3">
      <c r="A3" s="1" t="s">
        <v>83</v>
      </c>
      <c r="B3" s="1" t="s">
        <v>45</v>
      </c>
      <c r="C3" s="1" t="s">
        <v>89</v>
      </c>
      <c r="D3" s="1" t="s">
        <v>84</v>
      </c>
      <c r="E3" s="54">
        <v>45485.504028171294</v>
      </c>
      <c r="F3" s="54">
        <v>45485.542222615739</v>
      </c>
      <c r="G3" s="1">
        <v>55</v>
      </c>
      <c r="H3" s="1">
        <v>992</v>
      </c>
      <c r="I3" s="1">
        <v>88</v>
      </c>
      <c r="J3" s="1">
        <v>1044</v>
      </c>
      <c r="K3" s="12">
        <f>(Table14[[#This Row],[Customers End]]-Table14[[#This Row],[New Customers Acquired]])/Table14[[#This Row],[Customers Start]]</f>
        <v>0.96370967741935487</v>
      </c>
      <c r="L3" s="1">
        <v>169</v>
      </c>
      <c r="M3" s="1">
        <v>62</v>
      </c>
      <c r="N3" s="30">
        <v>23.300970873786401</v>
      </c>
      <c r="O3" s="1">
        <v>78</v>
      </c>
      <c r="P3" s="1">
        <v>43</v>
      </c>
      <c r="Q3" s="1">
        <f>Table14[[#This Row],[Promoters]]-Table14[[#This Row],[Detractors]]</f>
        <v>35</v>
      </c>
    </row>
    <row r="4" spans="1:17" x14ac:dyDescent="0.3">
      <c r="A4" s="1" t="s">
        <v>83</v>
      </c>
      <c r="B4" s="1" t="s">
        <v>45</v>
      </c>
      <c r="C4" s="1" t="s">
        <v>89</v>
      </c>
      <c r="D4" s="1" t="s">
        <v>85</v>
      </c>
      <c r="E4" s="54">
        <v>45499.033194837961</v>
      </c>
      <c r="F4" s="54">
        <v>45499.055417060183</v>
      </c>
      <c r="G4" s="1">
        <v>32</v>
      </c>
      <c r="H4" s="1">
        <v>914</v>
      </c>
      <c r="I4" s="1">
        <v>59</v>
      </c>
      <c r="J4" s="1">
        <v>941</v>
      </c>
      <c r="K4" s="12">
        <f>(Table14[[#This Row],[Customers End]]-Table14[[#This Row],[New Customers Acquired]])/Table14[[#This Row],[Customers Start]]</f>
        <v>0.96498905908096277</v>
      </c>
      <c r="L4" s="1">
        <v>165</v>
      </c>
      <c r="M4" s="1">
        <v>124</v>
      </c>
      <c r="N4" s="30">
        <v>23.300970873786401</v>
      </c>
      <c r="O4" s="1">
        <v>62</v>
      </c>
      <c r="P4" s="1">
        <v>16</v>
      </c>
      <c r="Q4" s="1">
        <f>Table14[[#This Row],[Promoters]]-Table14[[#This Row],[Detractors]]</f>
        <v>46</v>
      </c>
    </row>
    <row r="5" spans="1:17" x14ac:dyDescent="0.3">
      <c r="A5" s="1" t="s">
        <v>81</v>
      </c>
      <c r="B5" s="1" t="s">
        <v>45</v>
      </c>
      <c r="C5" s="1" t="s">
        <v>88</v>
      </c>
      <c r="D5" s="1" t="s">
        <v>85</v>
      </c>
      <c r="E5" s="54">
        <v>45493.642222615737</v>
      </c>
      <c r="F5" s="54">
        <v>45493.695694837967</v>
      </c>
      <c r="G5" s="1">
        <v>77</v>
      </c>
      <c r="H5" s="1">
        <v>971</v>
      </c>
      <c r="I5" s="1">
        <v>40</v>
      </c>
      <c r="J5" s="1">
        <v>970</v>
      </c>
      <c r="K5" s="12">
        <f>(Table14[[#This Row],[Customers End]]-Table14[[#This Row],[New Customers Acquired]])/Table14[[#This Row],[Customers Start]]</f>
        <v>0.95777548918640576</v>
      </c>
      <c r="L5" s="1">
        <v>124</v>
      </c>
      <c r="M5" s="1">
        <v>21</v>
      </c>
      <c r="N5" s="30">
        <v>23.300970873786401</v>
      </c>
      <c r="O5" s="1">
        <v>61</v>
      </c>
      <c r="P5" s="1">
        <v>37</v>
      </c>
      <c r="Q5" s="1">
        <f>Table14[[#This Row],[Promoters]]-Table14[[#This Row],[Detractors]]</f>
        <v>24</v>
      </c>
    </row>
    <row r="6" spans="1:17" x14ac:dyDescent="0.3">
      <c r="A6" s="1" t="s">
        <v>81</v>
      </c>
      <c r="B6" s="1" t="s">
        <v>45</v>
      </c>
      <c r="C6" s="1" t="s">
        <v>89</v>
      </c>
      <c r="D6" s="1" t="s">
        <v>82</v>
      </c>
      <c r="E6" s="54">
        <v>45493.283194837961</v>
      </c>
      <c r="F6" s="54">
        <v>45493.295000393518</v>
      </c>
      <c r="G6" s="1">
        <v>17</v>
      </c>
      <c r="H6" s="1">
        <v>960</v>
      </c>
      <c r="I6" s="1">
        <v>28</v>
      </c>
      <c r="J6" s="1">
        <v>945</v>
      </c>
      <c r="K6" s="12">
        <f>(Table14[[#This Row],[Customers End]]-Table14[[#This Row],[New Customers Acquired]])/Table14[[#This Row],[Customers Start]]</f>
        <v>0.95520833333333333</v>
      </c>
      <c r="L6" s="1">
        <v>162</v>
      </c>
      <c r="M6" s="1">
        <v>57</v>
      </c>
      <c r="N6" s="30">
        <v>23.300970873786401</v>
      </c>
      <c r="O6" s="1">
        <v>80</v>
      </c>
      <c r="P6" s="1">
        <v>6</v>
      </c>
      <c r="Q6" s="1">
        <f>Table14[[#This Row],[Promoters]]-Table14[[#This Row],[Detractors]]</f>
        <v>74</v>
      </c>
    </row>
    <row r="7" spans="1:17" x14ac:dyDescent="0.3">
      <c r="A7" s="1" t="s">
        <v>86</v>
      </c>
      <c r="B7" s="1" t="s">
        <v>49</v>
      </c>
      <c r="C7" s="1" t="s">
        <v>90</v>
      </c>
      <c r="D7" s="1" t="s">
        <v>84</v>
      </c>
      <c r="E7" s="54">
        <v>45490.161667060187</v>
      </c>
      <c r="F7" s="54">
        <v>45490.170000393518</v>
      </c>
      <c r="G7" s="1">
        <v>12</v>
      </c>
      <c r="H7" s="1">
        <v>920</v>
      </c>
      <c r="I7" s="1">
        <v>14</v>
      </c>
      <c r="J7" s="1">
        <v>911</v>
      </c>
      <c r="K7" s="12">
        <f>(Table14[[#This Row],[Customers End]]-Table14[[#This Row],[New Customers Acquired]])/Table14[[#This Row],[Customers Start]]</f>
        <v>0.97499999999999998</v>
      </c>
      <c r="L7" s="1">
        <v>153</v>
      </c>
      <c r="M7" s="1">
        <v>57</v>
      </c>
      <c r="N7" s="30">
        <v>23.300970873786401</v>
      </c>
      <c r="O7" s="1">
        <v>95</v>
      </c>
      <c r="P7" s="1">
        <v>45</v>
      </c>
      <c r="Q7" s="1">
        <f>Table14[[#This Row],[Promoters]]-Table14[[#This Row],[Detractors]]</f>
        <v>50</v>
      </c>
    </row>
    <row r="8" spans="1:17" x14ac:dyDescent="0.3">
      <c r="A8" s="1" t="s">
        <v>87</v>
      </c>
      <c r="B8" s="1" t="s">
        <v>49</v>
      </c>
      <c r="C8" s="1" t="s">
        <v>90</v>
      </c>
      <c r="D8" s="1" t="s">
        <v>84</v>
      </c>
      <c r="E8" s="54">
        <v>45500.95888928241</v>
      </c>
      <c r="F8" s="54">
        <v>45500.972083726854</v>
      </c>
      <c r="G8" s="1">
        <v>19</v>
      </c>
      <c r="H8" s="1">
        <v>982</v>
      </c>
      <c r="I8" s="1">
        <v>44</v>
      </c>
      <c r="J8" s="1">
        <v>1012</v>
      </c>
      <c r="K8" s="12">
        <f>(Table14[[#This Row],[Customers End]]-Table14[[#This Row],[New Customers Acquired]])/Table14[[#This Row],[Customers Start]]</f>
        <v>0.98574338085539714</v>
      </c>
      <c r="L8" s="1">
        <v>133</v>
      </c>
      <c r="M8" s="1">
        <v>85</v>
      </c>
      <c r="N8" s="30">
        <v>23.300970873786401</v>
      </c>
      <c r="O8" s="1">
        <v>51</v>
      </c>
      <c r="P8" s="1">
        <v>12</v>
      </c>
      <c r="Q8" s="1">
        <f>Table14[[#This Row],[Promoters]]-Table14[[#This Row],[Detractors]]</f>
        <v>39</v>
      </c>
    </row>
    <row r="9" spans="1:17" x14ac:dyDescent="0.3">
      <c r="A9" s="1" t="s">
        <v>86</v>
      </c>
      <c r="B9" s="1" t="s">
        <v>45</v>
      </c>
      <c r="C9" s="1" t="s">
        <v>88</v>
      </c>
      <c r="D9" s="1" t="s">
        <v>82</v>
      </c>
      <c r="E9" s="54">
        <v>45477.672778171298</v>
      </c>
      <c r="F9" s="54">
        <v>45477.702639282405</v>
      </c>
      <c r="G9" s="1">
        <v>43</v>
      </c>
      <c r="H9" s="1">
        <v>986</v>
      </c>
      <c r="I9" s="1">
        <v>64</v>
      </c>
      <c r="J9" s="1">
        <v>1019</v>
      </c>
      <c r="K9" s="12">
        <f>(Table14[[#This Row],[Customers End]]-Table14[[#This Row],[New Customers Acquired]])/Table14[[#This Row],[Customers Start]]</f>
        <v>0.96855983772819476</v>
      </c>
      <c r="L9" s="1">
        <v>161</v>
      </c>
      <c r="M9" s="1">
        <v>48</v>
      </c>
      <c r="N9" s="30">
        <v>23.300970873786401</v>
      </c>
      <c r="O9" s="1">
        <v>99</v>
      </c>
      <c r="P9" s="1">
        <v>39</v>
      </c>
      <c r="Q9" s="1">
        <f>Table14[[#This Row],[Promoters]]-Table14[[#This Row],[Detractors]]</f>
        <v>60</v>
      </c>
    </row>
    <row r="10" spans="1:17" x14ac:dyDescent="0.3">
      <c r="A10" s="1" t="s">
        <v>83</v>
      </c>
      <c r="B10" s="1" t="s">
        <v>44</v>
      </c>
      <c r="C10" s="1" t="s">
        <v>88</v>
      </c>
      <c r="D10" s="1" t="s">
        <v>82</v>
      </c>
      <c r="E10" s="54">
        <v>45493.593611504628</v>
      </c>
      <c r="F10" s="54">
        <v>45493.64638928241</v>
      </c>
      <c r="G10" s="1">
        <v>76</v>
      </c>
      <c r="H10" s="1">
        <v>974</v>
      </c>
      <c r="I10" s="1">
        <v>88</v>
      </c>
      <c r="J10" s="1">
        <v>1031</v>
      </c>
      <c r="K10" s="12">
        <f>(Table14[[#This Row],[Customers End]]-Table14[[#This Row],[New Customers Acquired]])/Table14[[#This Row],[Customers Start]]</f>
        <v>0.96817248459958927</v>
      </c>
      <c r="L10" s="1">
        <v>148</v>
      </c>
      <c r="M10" s="1">
        <v>69</v>
      </c>
      <c r="N10" s="30">
        <v>23.300970873786401</v>
      </c>
      <c r="O10" s="1">
        <v>84</v>
      </c>
      <c r="P10" s="1">
        <v>41</v>
      </c>
      <c r="Q10" s="1">
        <f>Table14[[#This Row],[Promoters]]-Table14[[#This Row],[Detractors]]</f>
        <v>43</v>
      </c>
    </row>
    <row r="11" spans="1:17" x14ac:dyDescent="0.3">
      <c r="A11" s="1" t="s">
        <v>83</v>
      </c>
      <c r="B11" s="1" t="s">
        <v>42</v>
      </c>
      <c r="C11" s="1" t="s">
        <v>88</v>
      </c>
      <c r="D11" s="1" t="s">
        <v>84</v>
      </c>
      <c r="E11" s="54">
        <v>45470.410278171294</v>
      </c>
      <c r="F11" s="54">
        <v>45470.465139282409</v>
      </c>
      <c r="G11" s="1">
        <v>79</v>
      </c>
      <c r="H11" s="1">
        <v>974</v>
      </c>
      <c r="I11" s="1">
        <v>70</v>
      </c>
      <c r="J11" s="1">
        <v>1021</v>
      </c>
      <c r="K11" s="12">
        <f>(Table14[[#This Row],[Customers End]]-Table14[[#This Row],[New Customers Acquired]])/Table14[[#This Row],[Customers Start]]</f>
        <v>0.97638603696098558</v>
      </c>
      <c r="L11" s="1">
        <v>142</v>
      </c>
      <c r="M11" s="1">
        <v>14</v>
      </c>
      <c r="N11" s="30">
        <v>23.300970873786401</v>
      </c>
      <c r="O11" s="1">
        <v>72</v>
      </c>
      <c r="P11" s="1">
        <v>8</v>
      </c>
      <c r="Q11" s="1">
        <f>Table14[[#This Row],[Promoters]]-Table14[[#This Row],[Detractors]]</f>
        <v>64</v>
      </c>
    </row>
    <row r="12" spans="1:17" x14ac:dyDescent="0.3">
      <c r="A12" s="1" t="s">
        <v>83</v>
      </c>
      <c r="B12" s="1" t="s">
        <v>45</v>
      </c>
      <c r="C12" s="1" t="s">
        <v>90</v>
      </c>
      <c r="D12" s="1" t="s">
        <v>85</v>
      </c>
      <c r="E12" s="54">
        <v>45473.262361504632</v>
      </c>
      <c r="F12" s="54">
        <v>45473.297083726851</v>
      </c>
      <c r="G12" s="1">
        <v>50</v>
      </c>
      <c r="H12" s="1">
        <v>987</v>
      </c>
      <c r="I12" s="1">
        <v>8</v>
      </c>
      <c r="J12" s="1">
        <v>955</v>
      </c>
      <c r="K12" s="12">
        <f>(Table14[[#This Row],[Customers End]]-Table14[[#This Row],[New Customers Acquired]])/Table14[[#This Row],[Customers Start]]</f>
        <v>0.95947315096251262</v>
      </c>
      <c r="L12" s="1">
        <v>195</v>
      </c>
      <c r="M12" s="1">
        <v>53</v>
      </c>
      <c r="N12" s="30">
        <v>23.300970873786401</v>
      </c>
      <c r="O12" s="1">
        <v>66</v>
      </c>
      <c r="P12" s="1">
        <v>49</v>
      </c>
      <c r="Q12" s="1">
        <f>Table14[[#This Row],[Promoters]]-Table14[[#This Row],[Detractors]]</f>
        <v>17</v>
      </c>
    </row>
    <row r="13" spans="1:17" x14ac:dyDescent="0.3">
      <c r="A13" s="1" t="s">
        <v>83</v>
      </c>
      <c r="B13" s="1" t="s">
        <v>44</v>
      </c>
      <c r="C13" s="1" t="s">
        <v>89</v>
      </c>
      <c r="D13" s="1" t="s">
        <v>84</v>
      </c>
      <c r="E13" s="54">
        <v>45490.05263928241</v>
      </c>
      <c r="F13" s="54">
        <v>45490.069305949073</v>
      </c>
      <c r="G13" s="1">
        <v>24</v>
      </c>
      <c r="H13" s="1">
        <v>999</v>
      </c>
      <c r="I13" s="1">
        <v>87</v>
      </c>
      <c r="J13" s="1">
        <v>1038</v>
      </c>
      <c r="K13" s="12">
        <f>(Table14[[#This Row],[Customers End]]-Table14[[#This Row],[New Customers Acquired]])/Table14[[#This Row],[Customers Start]]</f>
        <v>0.95195195195195192</v>
      </c>
      <c r="L13" s="1">
        <v>177</v>
      </c>
      <c r="M13" s="1">
        <v>100</v>
      </c>
      <c r="N13" s="30">
        <v>23.300970873786401</v>
      </c>
      <c r="O13" s="1">
        <v>75</v>
      </c>
      <c r="P13" s="1">
        <v>26</v>
      </c>
      <c r="Q13" s="1">
        <f>Table14[[#This Row],[Promoters]]-Table14[[#This Row],[Detractors]]</f>
        <v>49</v>
      </c>
    </row>
    <row r="14" spans="1:17" x14ac:dyDescent="0.3">
      <c r="A14" s="1" t="s">
        <v>81</v>
      </c>
      <c r="B14" s="1" t="s">
        <v>42</v>
      </c>
      <c r="C14" s="1" t="s">
        <v>90</v>
      </c>
      <c r="D14" s="1" t="s">
        <v>82</v>
      </c>
      <c r="E14" s="54">
        <v>45481.027639282409</v>
      </c>
      <c r="F14" s="54">
        <v>45481.095694837961</v>
      </c>
      <c r="G14" s="1">
        <v>98</v>
      </c>
      <c r="H14" s="1">
        <v>923</v>
      </c>
      <c r="I14" s="1">
        <v>0</v>
      </c>
      <c r="J14" s="1">
        <v>875</v>
      </c>
      <c r="K14" s="12">
        <f>(Table14[[#This Row],[Customers End]]-Table14[[#This Row],[New Customers Acquired]])/Table14[[#This Row],[Customers Start]]</f>
        <v>0.94799566630552545</v>
      </c>
      <c r="L14" s="1">
        <v>159</v>
      </c>
      <c r="M14" s="1">
        <v>7</v>
      </c>
      <c r="N14" s="30">
        <v>23.300970873786401</v>
      </c>
      <c r="O14" s="1">
        <v>57</v>
      </c>
      <c r="P14" s="1">
        <v>1</v>
      </c>
      <c r="Q14" s="1">
        <f>Table14[[#This Row],[Promoters]]-Table14[[#This Row],[Detractors]]</f>
        <v>56</v>
      </c>
    </row>
    <row r="15" spans="1:17" x14ac:dyDescent="0.3">
      <c r="A15" s="1" t="s">
        <v>83</v>
      </c>
      <c r="B15" s="1" t="s">
        <v>45</v>
      </c>
      <c r="C15" s="1" t="s">
        <v>88</v>
      </c>
      <c r="D15" s="1" t="s">
        <v>85</v>
      </c>
      <c r="E15" s="54">
        <v>45494.258194837967</v>
      </c>
      <c r="F15" s="54">
        <v>45494.27208372685</v>
      </c>
      <c r="G15" s="1">
        <v>20</v>
      </c>
      <c r="H15" s="1">
        <v>902</v>
      </c>
      <c r="I15" s="1">
        <v>7</v>
      </c>
      <c r="J15" s="1">
        <v>898</v>
      </c>
      <c r="K15" s="12">
        <f>(Table14[[#This Row],[Customers End]]-Table14[[#This Row],[New Customers Acquired]])/Table14[[#This Row],[Customers Start]]</f>
        <v>0.98780487804878048</v>
      </c>
      <c r="L15" s="1">
        <v>131</v>
      </c>
      <c r="M15" s="1">
        <v>52</v>
      </c>
      <c r="N15" s="30">
        <v>23.300970873786401</v>
      </c>
      <c r="O15" s="1">
        <v>78</v>
      </c>
      <c r="P15" s="1">
        <v>4</v>
      </c>
      <c r="Q15" s="1">
        <f>Table14[[#This Row],[Promoters]]-Table14[[#This Row],[Detractors]]</f>
        <v>74</v>
      </c>
    </row>
    <row r="16" spans="1:17" x14ac:dyDescent="0.3">
      <c r="A16" s="1" t="s">
        <v>81</v>
      </c>
      <c r="B16" s="1" t="s">
        <v>45</v>
      </c>
      <c r="C16" s="1" t="s">
        <v>89</v>
      </c>
      <c r="D16" s="1" t="s">
        <v>85</v>
      </c>
      <c r="E16" s="54">
        <v>45480.41375039352</v>
      </c>
      <c r="F16" s="54">
        <v>45480.430417060183</v>
      </c>
      <c r="G16" s="1">
        <v>24</v>
      </c>
      <c r="H16" s="1">
        <v>921</v>
      </c>
      <c r="I16" s="1">
        <v>87</v>
      </c>
      <c r="J16" s="1">
        <v>970</v>
      </c>
      <c r="K16" s="12">
        <f>(Table14[[#This Row],[Customers End]]-Table14[[#This Row],[New Customers Acquired]])/Table14[[#This Row],[Customers Start]]</f>
        <v>0.95874049945711182</v>
      </c>
      <c r="L16" s="1">
        <v>103</v>
      </c>
      <c r="M16" s="1">
        <v>59</v>
      </c>
      <c r="N16" s="30">
        <v>23.300970873786401</v>
      </c>
      <c r="O16" s="1">
        <v>75</v>
      </c>
      <c r="P16" s="1">
        <v>28</v>
      </c>
      <c r="Q16" s="1">
        <f>Table14[[#This Row],[Promoters]]-Table14[[#This Row],[Detractors]]</f>
        <v>47</v>
      </c>
    </row>
    <row r="17" spans="1:17" x14ac:dyDescent="0.3">
      <c r="A17" s="1" t="s">
        <v>81</v>
      </c>
      <c r="B17" s="1" t="s">
        <v>49</v>
      </c>
      <c r="C17" s="1" t="s">
        <v>89</v>
      </c>
      <c r="D17" s="1" t="s">
        <v>82</v>
      </c>
      <c r="E17" s="54">
        <v>45479.470694837961</v>
      </c>
      <c r="F17" s="54">
        <v>45479.499167060188</v>
      </c>
      <c r="G17" s="1">
        <v>41</v>
      </c>
      <c r="H17" s="1">
        <v>952</v>
      </c>
      <c r="I17" s="1">
        <v>62</v>
      </c>
      <c r="J17" s="1">
        <v>1013</v>
      </c>
      <c r="K17" s="12">
        <f>(Table14[[#This Row],[Customers End]]-Table14[[#This Row],[New Customers Acquired]])/Table14[[#This Row],[Customers Start]]</f>
        <v>0.99894957983193278</v>
      </c>
      <c r="L17" s="1">
        <v>117</v>
      </c>
      <c r="M17" s="1">
        <v>107</v>
      </c>
      <c r="N17" s="30">
        <v>23.300970873786401</v>
      </c>
      <c r="O17" s="1">
        <v>59</v>
      </c>
      <c r="P17" s="1">
        <v>36</v>
      </c>
      <c r="Q17" s="1">
        <f>Table14[[#This Row],[Promoters]]-Table14[[#This Row],[Detractors]]</f>
        <v>23</v>
      </c>
    </row>
    <row r="18" spans="1:17" x14ac:dyDescent="0.3">
      <c r="A18" s="1" t="s">
        <v>83</v>
      </c>
      <c r="B18" s="1" t="s">
        <v>42</v>
      </c>
      <c r="C18" s="1" t="s">
        <v>90</v>
      </c>
      <c r="D18" s="1" t="s">
        <v>82</v>
      </c>
      <c r="E18" s="54">
        <v>45471.206805949078</v>
      </c>
      <c r="F18" s="54">
        <v>45471.270000393517</v>
      </c>
      <c r="G18" s="1">
        <v>91</v>
      </c>
      <c r="H18" s="1">
        <v>901</v>
      </c>
      <c r="I18" s="1">
        <v>10</v>
      </c>
      <c r="J18" s="1">
        <v>909</v>
      </c>
      <c r="K18" s="12">
        <f>(Table14[[#This Row],[Customers End]]-Table14[[#This Row],[New Customers Acquired]])/Table14[[#This Row],[Customers Start]]</f>
        <v>0.99778024417314093</v>
      </c>
      <c r="L18" s="1">
        <v>82</v>
      </c>
      <c r="M18" s="1">
        <v>4</v>
      </c>
      <c r="N18" s="30">
        <v>23.300970873786401</v>
      </c>
      <c r="O18" s="1">
        <v>75</v>
      </c>
      <c r="P18" s="1">
        <v>37</v>
      </c>
      <c r="Q18" s="1">
        <f>Table14[[#This Row],[Promoters]]-Table14[[#This Row],[Detractors]]</f>
        <v>38</v>
      </c>
    </row>
    <row r="19" spans="1:17" x14ac:dyDescent="0.3">
      <c r="A19" s="1" t="s">
        <v>83</v>
      </c>
      <c r="B19" s="1" t="s">
        <v>42</v>
      </c>
      <c r="C19" s="1" t="s">
        <v>88</v>
      </c>
      <c r="D19" s="1" t="s">
        <v>82</v>
      </c>
      <c r="E19" s="54">
        <v>45472.270694837964</v>
      </c>
      <c r="F19" s="54">
        <v>45472.341528171295</v>
      </c>
      <c r="G19" s="1">
        <v>102</v>
      </c>
      <c r="H19" s="1">
        <v>987</v>
      </c>
      <c r="I19" s="1">
        <v>80</v>
      </c>
      <c r="J19" s="1">
        <v>1019</v>
      </c>
      <c r="K19" s="12">
        <f>(Table14[[#This Row],[Customers End]]-Table14[[#This Row],[New Customers Acquired]])/Table14[[#This Row],[Customers Start]]</f>
        <v>0.95136778115501519</v>
      </c>
      <c r="L19" s="1">
        <v>191</v>
      </c>
      <c r="M19" s="1">
        <v>102</v>
      </c>
      <c r="N19" s="30">
        <v>23.300970873786401</v>
      </c>
      <c r="O19" s="1">
        <v>83</v>
      </c>
      <c r="P19" s="1">
        <v>18</v>
      </c>
      <c r="Q19" s="1">
        <f>Table14[[#This Row],[Promoters]]-Table14[[#This Row],[Detractors]]</f>
        <v>65</v>
      </c>
    </row>
    <row r="20" spans="1:17" x14ac:dyDescent="0.3">
      <c r="A20" s="1" t="s">
        <v>87</v>
      </c>
      <c r="B20" s="1" t="s">
        <v>44</v>
      </c>
      <c r="C20" s="1" t="s">
        <v>90</v>
      </c>
      <c r="D20" s="1" t="s">
        <v>84</v>
      </c>
      <c r="E20" s="54">
        <v>45497.117917060183</v>
      </c>
      <c r="F20" s="54">
        <v>45497.133889282406</v>
      </c>
      <c r="G20" s="1">
        <v>23</v>
      </c>
      <c r="H20" s="1">
        <v>929</v>
      </c>
      <c r="I20" s="1">
        <v>7</v>
      </c>
      <c r="J20" s="1">
        <v>900</v>
      </c>
      <c r="K20" s="12">
        <f>(Table14[[#This Row],[Customers End]]-Table14[[#This Row],[New Customers Acquired]])/Table14[[#This Row],[Customers Start]]</f>
        <v>0.96124865446716901</v>
      </c>
      <c r="L20" s="1">
        <v>70</v>
      </c>
      <c r="M20" s="1">
        <v>67</v>
      </c>
      <c r="N20" s="30">
        <v>23.300970873786401</v>
      </c>
      <c r="O20" s="1">
        <v>90</v>
      </c>
      <c r="P20" s="1">
        <v>7</v>
      </c>
      <c r="Q20" s="1">
        <f>Table14[[#This Row],[Promoters]]-Table14[[#This Row],[Detractors]]</f>
        <v>83</v>
      </c>
    </row>
    <row r="21" spans="1:17" x14ac:dyDescent="0.3">
      <c r="A21" s="1" t="s">
        <v>86</v>
      </c>
      <c r="B21" s="1" t="s">
        <v>49</v>
      </c>
      <c r="C21" s="1" t="s">
        <v>89</v>
      </c>
      <c r="D21" s="1" t="s">
        <v>84</v>
      </c>
      <c r="E21" s="54">
        <v>45484.922778171298</v>
      </c>
      <c r="F21" s="54">
        <v>45484.974861504626</v>
      </c>
      <c r="G21" s="1">
        <v>75</v>
      </c>
      <c r="H21" s="1">
        <v>937</v>
      </c>
      <c r="I21" s="1">
        <v>34</v>
      </c>
      <c r="J21" s="1">
        <v>923</v>
      </c>
      <c r="K21" s="12">
        <f>(Table14[[#This Row],[Customers End]]-Table14[[#This Row],[New Customers Acquired]])/Table14[[#This Row],[Customers Start]]</f>
        <v>0.94877267876200644</v>
      </c>
      <c r="L21" s="1">
        <v>97</v>
      </c>
      <c r="M21" s="1">
        <v>5</v>
      </c>
      <c r="N21" s="30">
        <v>23.300970873786401</v>
      </c>
      <c r="O21" s="1">
        <v>56</v>
      </c>
      <c r="P21" s="1">
        <v>47</v>
      </c>
      <c r="Q21" s="1">
        <f>Table14[[#This Row],[Promoters]]-Table14[[#This Row],[Detractors]]</f>
        <v>9</v>
      </c>
    </row>
    <row r="22" spans="1:17" x14ac:dyDescent="0.3">
      <c r="A22" s="1" t="s">
        <v>83</v>
      </c>
      <c r="B22" s="1" t="s">
        <v>49</v>
      </c>
      <c r="C22" s="1" t="s">
        <v>90</v>
      </c>
      <c r="D22" s="1" t="s">
        <v>85</v>
      </c>
      <c r="E22" s="54">
        <v>45500.714444837962</v>
      </c>
      <c r="F22" s="54">
        <v>45500.797778171298</v>
      </c>
      <c r="G22" s="1">
        <v>120</v>
      </c>
      <c r="H22" s="1">
        <v>901</v>
      </c>
      <c r="I22" s="1">
        <v>34</v>
      </c>
      <c r="J22" s="1">
        <v>919</v>
      </c>
      <c r="K22" s="12">
        <f>(Table14[[#This Row],[Customers End]]-Table14[[#This Row],[New Customers Acquired]])/Table14[[#This Row],[Customers Start]]</f>
        <v>0.98224195338512765</v>
      </c>
      <c r="L22" s="1">
        <v>197</v>
      </c>
      <c r="M22" s="1">
        <v>108</v>
      </c>
      <c r="N22" s="30">
        <v>23.300970873786401</v>
      </c>
      <c r="O22" s="1">
        <v>53</v>
      </c>
      <c r="P22" s="1">
        <v>44</v>
      </c>
      <c r="Q22" s="1">
        <f>Table14[[#This Row],[Promoters]]-Table14[[#This Row],[Detractors]]</f>
        <v>9</v>
      </c>
    </row>
    <row r="23" spans="1:17" x14ac:dyDescent="0.3">
      <c r="A23" s="1" t="s">
        <v>87</v>
      </c>
      <c r="B23" s="1" t="s">
        <v>49</v>
      </c>
      <c r="C23" s="1" t="s">
        <v>90</v>
      </c>
      <c r="D23" s="1" t="s">
        <v>82</v>
      </c>
      <c r="E23" s="54">
        <v>45491.159583726854</v>
      </c>
      <c r="F23" s="54">
        <v>45491.181805949076</v>
      </c>
      <c r="G23" s="1">
        <v>32</v>
      </c>
      <c r="H23" s="1">
        <v>963</v>
      </c>
      <c r="I23" s="1">
        <v>32</v>
      </c>
      <c r="J23" s="1">
        <v>947</v>
      </c>
      <c r="K23" s="12">
        <f>(Table14[[#This Row],[Customers End]]-Table14[[#This Row],[New Customers Acquired]])/Table14[[#This Row],[Customers Start]]</f>
        <v>0.95015576323987538</v>
      </c>
      <c r="L23" s="1">
        <v>177</v>
      </c>
      <c r="M23" s="1">
        <v>115</v>
      </c>
      <c r="N23" s="30">
        <v>23.300970873786401</v>
      </c>
      <c r="O23" s="1">
        <v>99</v>
      </c>
      <c r="P23" s="1">
        <v>0</v>
      </c>
      <c r="Q23" s="1">
        <f>Table14[[#This Row],[Promoters]]-Table14[[#This Row],[Detractors]]</f>
        <v>99</v>
      </c>
    </row>
    <row r="24" spans="1:17" x14ac:dyDescent="0.3">
      <c r="A24" s="1" t="s">
        <v>87</v>
      </c>
      <c r="B24" s="1" t="s">
        <v>49</v>
      </c>
      <c r="C24" s="1" t="s">
        <v>88</v>
      </c>
      <c r="D24" s="1" t="s">
        <v>85</v>
      </c>
      <c r="E24" s="54">
        <v>45492.889444837965</v>
      </c>
      <c r="F24" s="54">
        <v>45492.938055949075</v>
      </c>
      <c r="G24" s="1">
        <v>70</v>
      </c>
      <c r="H24" s="1">
        <v>959</v>
      </c>
      <c r="I24" s="1">
        <v>4</v>
      </c>
      <c r="J24" s="1">
        <v>962</v>
      </c>
      <c r="K24" s="12">
        <f>(Table14[[#This Row],[Customers End]]-Table14[[#This Row],[New Customers Acquired]])/Table14[[#This Row],[Customers Start]]</f>
        <v>0.99895724713242962</v>
      </c>
      <c r="L24" s="1">
        <v>185</v>
      </c>
      <c r="M24" s="1">
        <v>93</v>
      </c>
      <c r="N24" s="30">
        <v>23.300970873786401</v>
      </c>
      <c r="O24" s="1">
        <v>94</v>
      </c>
      <c r="P24" s="1">
        <v>21</v>
      </c>
      <c r="Q24" s="1">
        <f>Table14[[#This Row],[Promoters]]-Table14[[#This Row],[Detractors]]</f>
        <v>73</v>
      </c>
    </row>
    <row r="25" spans="1:17" x14ac:dyDescent="0.3">
      <c r="A25" s="1" t="s">
        <v>86</v>
      </c>
      <c r="B25" s="1" t="s">
        <v>42</v>
      </c>
      <c r="C25" s="1" t="s">
        <v>88</v>
      </c>
      <c r="D25" s="1" t="s">
        <v>85</v>
      </c>
      <c r="E25" s="54">
        <v>45483.020000393517</v>
      </c>
      <c r="F25" s="54">
        <v>45483.090833726848</v>
      </c>
      <c r="G25" s="1">
        <v>102</v>
      </c>
      <c r="H25" s="1">
        <v>920</v>
      </c>
      <c r="I25" s="1">
        <v>40</v>
      </c>
      <c r="J25" s="1">
        <v>959</v>
      </c>
      <c r="K25" s="12">
        <f>(Table14[[#This Row],[Customers End]]-Table14[[#This Row],[New Customers Acquired]])/Table14[[#This Row],[Customers Start]]</f>
        <v>0.99891304347826082</v>
      </c>
      <c r="L25" s="1">
        <v>184</v>
      </c>
      <c r="M25" s="1">
        <v>46</v>
      </c>
      <c r="N25" s="30">
        <v>23.300970873786401</v>
      </c>
      <c r="O25" s="1">
        <v>60</v>
      </c>
      <c r="P25" s="1">
        <v>16</v>
      </c>
      <c r="Q25" s="1">
        <f>Table14[[#This Row],[Promoters]]-Table14[[#This Row],[Detractors]]</f>
        <v>44</v>
      </c>
    </row>
    <row r="26" spans="1:17" x14ac:dyDescent="0.3">
      <c r="A26" s="1" t="s">
        <v>81</v>
      </c>
      <c r="B26" s="1" t="s">
        <v>42</v>
      </c>
      <c r="C26" s="1" t="s">
        <v>89</v>
      </c>
      <c r="D26" s="1" t="s">
        <v>85</v>
      </c>
      <c r="E26" s="54">
        <v>45473.110972615737</v>
      </c>
      <c r="F26" s="54">
        <v>45473.12972261574</v>
      </c>
      <c r="G26" s="1">
        <v>27</v>
      </c>
      <c r="H26" s="1">
        <v>932</v>
      </c>
      <c r="I26" s="1">
        <v>27</v>
      </c>
      <c r="J26" s="1">
        <v>932</v>
      </c>
      <c r="K26" s="12">
        <f>(Table14[[#This Row],[Customers End]]-Table14[[#This Row],[New Customers Acquired]])/Table14[[#This Row],[Customers Start]]</f>
        <v>0.97103004291845496</v>
      </c>
      <c r="L26" s="1">
        <v>194</v>
      </c>
      <c r="M26" s="1">
        <v>98</v>
      </c>
      <c r="N26" s="30">
        <v>23.300970873786401</v>
      </c>
      <c r="O26" s="1">
        <v>78</v>
      </c>
      <c r="P26" s="1">
        <v>6</v>
      </c>
      <c r="Q26" s="1">
        <f>Table14[[#This Row],[Promoters]]-Table14[[#This Row],[Detractors]]</f>
        <v>72</v>
      </c>
    </row>
    <row r="27" spans="1:17" x14ac:dyDescent="0.3">
      <c r="A27" s="1" t="s">
        <v>83</v>
      </c>
      <c r="B27" s="1" t="s">
        <v>45</v>
      </c>
      <c r="C27" s="1" t="s">
        <v>90</v>
      </c>
      <c r="D27" s="1" t="s">
        <v>85</v>
      </c>
      <c r="E27" s="54">
        <v>45475.06722261574</v>
      </c>
      <c r="F27" s="54">
        <v>45475.099167060187</v>
      </c>
      <c r="G27" s="1">
        <v>46</v>
      </c>
      <c r="H27" s="1">
        <v>975</v>
      </c>
      <c r="I27" s="1">
        <v>6</v>
      </c>
      <c r="J27" s="1">
        <v>959</v>
      </c>
      <c r="K27" s="12">
        <f>(Table14[[#This Row],[Customers End]]-Table14[[#This Row],[New Customers Acquired]])/Table14[[#This Row],[Customers Start]]</f>
        <v>0.97743589743589743</v>
      </c>
      <c r="L27" s="1">
        <v>177</v>
      </c>
      <c r="M27" s="1">
        <v>54</v>
      </c>
      <c r="N27" s="30">
        <v>23.300970873786401</v>
      </c>
      <c r="O27" s="1">
        <v>85</v>
      </c>
      <c r="P27" s="1">
        <v>24</v>
      </c>
      <c r="Q27" s="1">
        <f>Table14[[#This Row],[Promoters]]-Table14[[#This Row],[Detractors]]</f>
        <v>61</v>
      </c>
    </row>
    <row r="28" spans="1:17" x14ac:dyDescent="0.3">
      <c r="A28" s="1" t="s">
        <v>86</v>
      </c>
      <c r="B28" s="1" t="s">
        <v>45</v>
      </c>
      <c r="C28" s="1" t="s">
        <v>90</v>
      </c>
      <c r="D28" s="1" t="s">
        <v>82</v>
      </c>
      <c r="E28" s="54">
        <v>45475.883194837967</v>
      </c>
      <c r="F28" s="54">
        <v>45475.950555949072</v>
      </c>
      <c r="G28" s="1">
        <v>97</v>
      </c>
      <c r="H28" s="1">
        <v>957</v>
      </c>
      <c r="I28" s="1">
        <v>72</v>
      </c>
      <c r="J28" s="1">
        <v>993</v>
      </c>
      <c r="K28" s="12">
        <f>(Table14[[#This Row],[Customers End]]-Table14[[#This Row],[New Customers Acquired]])/Table14[[#This Row],[Customers Start]]</f>
        <v>0.96238244514106586</v>
      </c>
      <c r="L28" s="1">
        <v>82</v>
      </c>
      <c r="M28" s="1">
        <v>39</v>
      </c>
      <c r="N28" s="30">
        <v>23.300970873786401</v>
      </c>
      <c r="O28" s="1">
        <v>74</v>
      </c>
      <c r="P28" s="1">
        <v>44</v>
      </c>
      <c r="Q28" s="1">
        <f>Table14[[#This Row],[Promoters]]-Table14[[#This Row],[Detractors]]</f>
        <v>30</v>
      </c>
    </row>
    <row r="29" spans="1:17" x14ac:dyDescent="0.3">
      <c r="A29" s="1" t="s">
        <v>83</v>
      </c>
      <c r="B29" s="1" t="s">
        <v>49</v>
      </c>
      <c r="C29" s="1" t="s">
        <v>90</v>
      </c>
      <c r="D29" s="1" t="s">
        <v>85</v>
      </c>
      <c r="E29" s="54">
        <v>45477.259583726853</v>
      </c>
      <c r="F29" s="54">
        <v>45477.276944837962</v>
      </c>
      <c r="G29" s="1">
        <v>25</v>
      </c>
      <c r="H29" s="1">
        <v>921</v>
      </c>
      <c r="I29" s="1">
        <v>71</v>
      </c>
      <c r="J29" s="1">
        <v>961</v>
      </c>
      <c r="K29" s="12">
        <f>(Table14[[#This Row],[Customers End]]-Table14[[#This Row],[New Customers Acquired]])/Table14[[#This Row],[Customers Start]]</f>
        <v>0.96634093376764385</v>
      </c>
      <c r="L29" s="1">
        <v>164</v>
      </c>
      <c r="M29" s="1">
        <v>51</v>
      </c>
      <c r="N29" s="30">
        <v>23.300970873786401</v>
      </c>
      <c r="O29" s="1">
        <v>70</v>
      </c>
      <c r="P29" s="1">
        <v>3</v>
      </c>
      <c r="Q29" s="1">
        <f>Table14[[#This Row],[Promoters]]-Table14[[#This Row],[Detractors]]</f>
        <v>67</v>
      </c>
    </row>
    <row r="30" spans="1:17" x14ac:dyDescent="0.3">
      <c r="A30" s="1" t="s">
        <v>87</v>
      </c>
      <c r="B30" s="1" t="s">
        <v>49</v>
      </c>
      <c r="C30" s="1" t="s">
        <v>89</v>
      </c>
      <c r="D30" s="1" t="s">
        <v>82</v>
      </c>
      <c r="E30" s="54">
        <v>45476.394305949078</v>
      </c>
      <c r="F30" s="54">
        <v>45476.434583726848</v>
      </c>
      <c r="G30" s="1">
        <v>58</v>
      </c>
      <c r="H30" s="1">
        <v>988</v>
      </c>
      <c r="I30" s="1">
        <v>11</v>
      </c>
      <c r="J30" s="1">
        <v>967</v>
      </c>
      <c r="K30" s="12">
        <f>(Table14[[#This Row],[Customers End]]-Table14[[#This Row],[New Customers Acquired]])/Table14[[#This Row],[Customers Start]]</f>
        <v>0.96761133603238869</v>
      </c>
      <c r="L30" s="1">
        <v>168</v>
      </c>
      <c r="M30" s="1">
        <v>143</v>
      </c>
      <c r="N30" s="30">
        <v>23.300970873786401</v>
      </c>
      <c r="O30" s="1">
        <v>85</v>
      </c>
      <c r="P30" s="1">
        <v>35</v>
      </c>
      <c r="Q30" s="1">
        <f>Table14[[#This Row],[Promoters]]-Table14[[#This Row],[Detractors]]</f>
        <v>50</v>
      </c>
    </row>
    <row r="31" spans="1:17" x14ac:dyDescent="0.3">
      <c r="A31" s="1" t="s">
        <v>87</v>
      </c>
      <c r="B31" s="1" t="s">
        <v>49</v>
      </c>
      <c r="C31" s="1" t="s">
        <v>89</v>
      </c>
      <c r="D31" s="1" t="s">
        <v>82</v>
      </c>
      <c r="E31" s="54">
        <v>45486.688055949075</v>
      </c>
      <c r="F31" s="54">
        <v>45486.747778171295</v>
      </c>
      <c r="G31" s="1">
        <v>86</v>
      </c>
      <c r="H31" s="1">
        <v>948</v>
      </c>
      <c r="I31" s="1">
        <v>33</v>
      </c>
      <c r="J31" s="1">
        <v>981</v>
      </c>
      <c r="K31" s="12">
        <f>(Table14[[#This Row],[Customers End]]-Table14[[#This Row],[New Customers Acquired]])/Table14[[#This Row],[Customers Start]]</f>
        <v>1</v>
      </c>
      <c r="L31" s="1">
        <v>71</v>
      </c>
      <c r="M31" s="1">
        <v>12</v>
      </c>
      <c r="N31" s="30">
        <v>23.300970873786401</v>
      </c>
      <c r="O31" s="1">
        <v>59</v>
      </c>
      <c r="P31" s="1">
        <v>5</v>
      </c>
      <c r="Q31" s="1">
        <f>Table14[[#This Row],[Promoters]]-Table14[[#This Row],[Detractors]]</f>
        <v>54</v>
      </c>
    </row>
    <row r="32" spans="1:17" x14ac:dyDescent="0.3">
      <c r="A32" s="1" t="s">
        <v>81</v>
      </c>
      <c r="B32" s="1" t="s">
        <v>45</v>
      </c>
      <c r="C32" s="1" t="s">
        <v>88</v>
      </c>
      <c r="D32" s="1" t="s">
        <v>84</v>
      </c>
      <c r="E32" s="54">
        <v>45498.419305949072</v>
      </c>
      <c r="F32" s="54">
        <v>45498.499861504628</v>
      </c>
      <c r="G32" s="1">
        <v>116</v>
      </c>
      <c r="H32" s="1">
        <v>990</v>
      </c>
      <c r="I32" s="1">
        <v>32</v>
      </c>
      <c r="J32" s="1">
        <v>1004</v>
      </c>
      <c r="K32" s="12">
        <f>(Table14[[#This Row],[Customers End]]-Table14[[#This Row],[New Customers Acquired]])/Table14[[#This Row],[Customers Start]]</f>
        <v>0.98181818181818181</v>
      </c>
      <c r="L32" s="1">
        <v>87</v>
      </c>
      <c r="M32" s="1">
        <v>29</v>
      </c>
      <c r="N32" s="30">
        <v>23.300970873786401</v>
      </c>
      <c r="O32" s="1">
        <v>86</v>
      </c>
      <c r="P32" s="1">
        <v>30</v>
      </c>
      <c r="Q32" s="1">
        <f>Table14[[#This Row],[Promoters]]-Table14[[#This Row],[Detractors]]</f>
        <v>56</v>
      </c>
    </row>
    <row r="33" spans="1:17" x14ac:dyDescent="0.3">
      <c r="A33" s="1" t="s">
        <v>87</v>
      </c>
      <c r="B33" s="1" t="s">
        <v>44</v>
      </c>
      <c r="C33" s="1" t="s">
        <v>88</v>
      </c>
      <c r="D33" s="1" t="s">
        <v>82</v>
      </c>
      <c r="E33" s="54">
        <v>45475.55263928241</v>
      </c>
      <c r="F33" s="54">
        <v>45475.631111504626</v>
      </c>
      <c r="G33" s="1">
        <v>113</v>
      </c>
      <c r="H33" s="1">
        <v>958</v>
      </c>
      <c r="I33" s="1">
        <v>47</v>
      </c>
      <c r="J33" s="1">
        <v>1004</v>
      </c>
      <c r="K33" s="12">
        <f>(Table14[[#This Row],[Customers End]]-Table14[[#This Row],[New Customers Acquired]])/Table14[[#This Row],[Customers Start]]</f>
        <v>0.9989561586638831</v>
      </c>
      <c r="L33" s="1">
        <v>158</v>
      </c>
      <c r="M33" s="1">
        <v>146</v>
      </c>
      <c r="N33" s="30">
        <v>23.300970873786401</v>
      </c>
      <c r="O33" s="1">
        <v>58</v>
      </c>
      <c r="P33" s="1">
        <v>18</v>
      </c>
      <c r="Q33" s="1">
        <f>Table14[[#This Row],[Promoters]]-Table14[[#This Row],[Detractors]]</f>
        <v>40</v>
      </c>
    </row>
    <row r="34" spans="1:17" x14ac:dyDescent="0.3">
      <c r="A34" s="1" t="s">
        <v>87</v>
      </c>
      <c r="B34" s="1" t="s">
        <v>44</v>
      </c>
      <c r="C34" s="1" t="s">
        <v>88</v>
      </c>
      <c r="D34" s="1" t="s">
        <v>84</v>
      </c>
      <c r="E34" s="54">
        <v>45482.357500393518</v>
      </c>
      <c r="F34" s="54">
        <v>45482.41097261574</v>
      </c>
      <c r="G34" s="1">
        <v>77</v>
      </c>
      <c r="H34" s="1">
        <v>941</v>
      </c>
      <c r="I34" s="1">
        <v>22</v>
      </c>
      <c r="J34" s="1">
        <v>920</v>
      </c>
      <c r="K34" s="12">
        <f>(Table14[[#This Row],[Customers End]]-Table14[[#This Row],[New Customers Acquired]])/Table14[[#This Row],[Customers Start]]</f>
        <v>0.95430393198724761</v>
      </c>
      <c r="L34" s="1">
        <v>100</v>
      </c>
      <c r="M34" s="1">
        <v>16</v>
      </c>
      <c r="N34" s="30">
        <v>23.300970873786401</v>
      </c>
      <c r="O34" s="1">
        <v>73</v>
      </c>
      <c r="P34" s="1">
        <v>43</v>
      </c>
      <c r="Q34" s="1">
        <f>Table14[[#This Row],[Promoters]]-Table14[[#This Row],[Detractors]]</f>
        <v>30</v>
      </c>
    </row>
    <row r="35" spans="1:17" x14ac:dyDescent="0.3">
      <c r="A35" s="1" t="s">
        <v>86</v>
      </c>
      <c r="B35" s="1" t="s">
        <v>45</v>
      </c>
      <c r="C35" s="1" t="s">
        <v>90</v>
      </c>
      <c r="D35" s="1" t="s">
        <v>82</v>
      </c>
      <c r="E35" s="54">
        <v>45489.842917060188</v>
      </c>
      <c r="F35" s="54">
        <v>45489.887361504632</v>
      </c>
      <c r="G35" s="1">
        <v>64</v>
      </c>
      <c r="H35" s="1">
        <v>991</v>
      </c>
      <c r="I35" s="1">
        <v>61</v>
      </c>
      <c r="J35" s="1">
        <v>1027</v>
      </c>
      <c r="K35" s="12">
        <f>(Table14[[#This Row],[Customers End]]-Table14[[#This Row],[New Customers Acquired]])/Table14[[#This Row],[Customers Start]]</f>
        <v>0.97477295660948537</v>
      </c>
      <c r="L35" s="1">
        <v>57</v>
      </c>
      <c r="M35" s="1">
        <v>55</v>
      </c>
      <c r="N35" s="30">
        <v>23.300970873786401</v>
      </c>
      <c r="O35" s="1">
        <v>84</v>
      </c>
      <c r="P35" s="1">
        <v>38</v>
      </c>
      <c r="Q35" s="1">
        <f>Table14[[#This Row],[Promoters]]-Table14[[#This Row],[Detractors]]</f>
        <v>46</v>
      </c>
    </row>
    <row r="36" spans="1:17" x14ac:dyDescent="0.3">
      <c r="A36" s="1" t="s">
        <v>83</v>
      </c>
      <c r="B36" s="1" t="s">
        <v>45</v>
      </c>
      <c r="C36" s="1" t="s">
        <v>90</v>
      </c>
      <c r="D36" s="1" t="s">
        <v>82</v>
      </c>
      <c r="E36" s="54">
        <v>45499.388750393518</v>
      </c>
      <c r="F36" s="54">
        <v>45499.452639282405</v>
      </c>
      <c r="G36" s="1">
        <v>92</v>
      </c>
      <c r="H36" s="1">
        <v>959</v>
      </c>
      <c r="I36" s="1">
        <v>87</v>
      </c>
      <c r="J36" s="1">
        <v>1015</v>
      </c>
      <c r="K36" s="12">
        <f>(Table14[[#This Row],[Customers End]]-Table14[[#This Row],[New Customers Acquired]])/Table14[[#This Row],[Customers Start]]</f>
        <v>0.96767466110531808</v>
      </c>
      <c r="L36" s="1">
        <v>76</v>
      </c>
      <c r="M36" s="1">
        <v>62</v>
      </c>
      <c r="N36" s="30">
        <v>23.300970873786401</v>
      </c>
      <c r="O36" s="1">
        <v>98</v>
      </c>
      <c r="P36" s="1">
        <v>26</v>
      </c>
      <c r="Q36" s="1">
        <f>Table14[[#This Row],[Promoters]]-Table14[[#This Row],[Detractors]]</f>
        <v>72</v>
      </c>
    </row>
    <row r="37" spans="1:17" x14ac:dyDescent="0.3">
      <c r="A37" s="1" t="s">
        <v>83</v>
      </c>
      <c r="B37" s="1" t="s">
        <v>45</v>
      </c>
      <c r="C37" s="1" t="s">
        <v>88</v>
      </c>
      <c r="D37" s="1" t="s">
        <v>82</v>
      </c>
      <c r="E37" s="54">
        <v>45480.706805949078</v>
      </c>
      <c r="F37" s="54">
        <v>45480.756111504626</v>
      </c>
      <c r="G37" s="1">
        <v>71</v>
      </c>
      <c r="H37" s="1">
        <v>979</v>
      </c>
      <c r="I37" s="1">
        <v>36</v>
      </c>
      <c r="J37" s="1">
        <v>1010</v>
      </c>
      <c r="K37" s="12">
        <f>(Table14[[#This Row],[Customers End]]-Table14[[#This Row],[New Customers Acquired]])/Table14[[#This Row],[Customers Start]]</f>
        <v>0.99489274770173641</v>
      </c>
      <c r="L37" s="1">
        <v>76</v>
      </c>
      <c r="M37" s="1">
        <v>18</v>
      </c>
      <c r="N37" s="30">
        <v>23.300970873786401</v>
      </c>
      <c r="O37" s="1">
        <v>84</v>
      </c>
      <c r="P37" s="1">
        <v>9</v>
      </c>
      <c r="Q37" s="1">
        <f>Table14[[#This Row],[Promoters]]-Table14[[#This Row],[Detractors]]</f>
        <v>75</v>
      </c>
    </row>
    <row r="38" spans="1:17" x14ac:dyDescent="0.3">
      <c r="A38" s="1" t="s">
        <v>86</v>
      </c>
      <c r="B38" s="1" t="s">
        <v>45</v>
      </c>
      <c r="C38" s="1" t="s">
        <v>90</v>
      </c>
      <c r="D38" s="1" t="s">
        <v>84</v>
      </c>
      <c r="E38" s="54">
        <v>45489.167222615739</v>
      </c>
      <c r="F38" s="54">
        <v>45489.17833372685</v>
      </c>
      <c r="G38" s="1">
        <v>16</v>
      </c>
      <c r="H38" s="1">
        <v>914</v>
      </c>
      <c r="I38" s="1">
        <v>98</v>
      </c>
      <c r="J38" s="1">
        <v>981</v>
      </c>
      <c r="K38" s="12">
        <f>(Table14[[#This Row],[Customers End]]-Table14[[#This Row],[New Customers Acquired]])/Table14[[#This Row],[Customers Start]]</f>
        <v>0.96608315098468267</v>
      </c>
      <c r="L38" s="1">
        <v>70</v>
      </c>
      <c r="M38" s="1">
        <v>57</v>
      </c>
      <c r="N38" s="30">
        <v>23.300970873786401</v>
      </c>
      <c r="O38" s="1">
        <v>97</v>
      </c>
      <c r="P38" s="1">
        <v>25</v>
      </c>
      <c r="Q38" s="1">
        <f>Table14[[#This Row],[Promoters]]-Table14[[#This Row],[Detractors]]</f>
        <v>72</v>
      </c>
    </row>
    <row r="39" spans="1:17" x14ac:dyDescent="0.3">
      <c r="A39" s="1" t="s">
        <v>81</v>
      </c>
      <c r="B39" s="1" t="s">
        <v>45</v>
      </c>
      <c r="C39" s="1" t="s">
        <v>88</v>
      </c>
      <c r="D39" s="1" t="s">
        <v>84</v>
      </c>
      <c r="E39" s="54">
        <v>45500.930417060183</v>
      </c>
      <c r="F39" s="54">
        <v>45501.005417060187</v>
      </c>
      <c r="G39" s="1">
        <v>108</v>
      </c>
      <c r="H39" s="1">
        <v>961</v>
      </c>
      <c r="I39" s="1">
        <v>43</v>
      </c>
      <c r="J39" s="1">
        <v>1001</v>
      </c>
      <c r="K39" s="12">
        <f>(Table14[[#This Row],[Customers End]]-Table14[[#This Row],[New Customers Acquired]])/Table14[[#This Row],[Customers Start]]</f>
        <v>0.99687825182101975</v>
      </c>
      <c r="L39" s="1">
        <v>79</v>
      </c>
      <c r="M39" s="1">
        <v>54</v>
      </c>
      <c r="N39" s="30">
        <v>23.300970873786401</v>
      </c>
      <c r="O39" s="1">
        <v>85</v>
      </c>
      <c r="P39" s="1">
        <v>18</v>
      </c>
      <c r="Q39" s="1">
        <f>Table14[[#This Row],[Promoters]]-Table14[[#This Row],[Detractors]]</f>
        <v>67</v>
      </c>
    </row>
    <row r="40" spans="1:17" x14ac:dyDescent="0.3">
      <c r="A40" s="1" t="s">
        <v>83</v>
      </c>
      <c r="B40" s="1" t="s">
        <v>45</v>
      </c>
      <c r="C40" s="1" t="s">
        <v>89</v>
      </c>
      <c r="D40" s="1" t="s">
        <v>85</v>
      </c>
      <c r="E40" s="54">
        <v>45484.56722261574</v>
      </c>
      <c r="F40" s="54">
        <v>45484.637361504632</v>
      </c>
      <c r="G40" s="1">
        <v>101</v>
      </c>
      <c r="H40" s="1">
        <v>961</v>
      </c>
      <c r="I40" s="1">
        <v>85</v>
      </c>
      <c r="J40" s="1">
        <v>1036</v>
      </c>
      <c r="K40" s="12">
        <f>(Table14[[#This Row],[Customers End]]-Table14[[#This Row],[New Customers Acquired]])/Table14[[#This Row],[Customers Start]]</f>
        <v>0.98959417273673256</v>
      </c>
      <c r="L40" s="1">
        <v>146</v>
      </c>
      <c r="M40" s="1">
        <v>89</v>
      </c>
      <c r="N40" s="30">
        <v>23.300970873786401</v>
      </c>
      <c r="O40" s="1">
        <v>67</v>
      </c>
      <c r="P40" s="1">
        <v>38</v>
      </c>
      <c r="Q40" s="1">
        <f>Table14[[#This Row],[Promoters]]-Table14[[#This Row],[Detractors]]</f>
        <v>29</v>
      </c>
    </row>
    <row r="41" spans="1:17" x14ac:dyDescent="0.3">
      <c r="A41" s="1" t="s">
        <v>87</v>
      </c>
      <c r="B41" s="1" t="s">
        <v>49</v>
      </c>
      <c r="C41" s="1" t="s">
        <v>88</v>
      </c>
      <c r="D41" s="1" t="s">
        <v>84</v>
      </c>
      <c r="E41" s="54">
        <v>45494.391528171298</v>
      </c>
      <c r="F41" s="54">
        <v>45494.440833726854</v>
      </c>
      <c r="G41" s="1">
        <v>71</v>
      </c>
      <c r="H41" s="1">
        <v>946</v>
      </c>
      <c r="I41" s="1">
        <v>90</v>
      </c>
      <c r="J41" s="1">
        <v>1020</v>
      </c>
      <c r="K41" s="12">
        <f>(Table14[[#This Row],[Customers End]]-Table14[[#This Row],[New Customers Acquired]])/Table14[[#This Row],[Customers Start]]</f>
        <v>0.9830866807610994</v>
      </c>
      <c r="L41" s="1">
        <v>77</v>
      </c>
      <c r="M41" s="1">
        <v>61</v>
      </c>
      <c r="N41" s="30">
        <v>23.300970873786401</v>
      </c>
      <c r="O41" s="1">
        <v>98</v>
      </c>
      <c r="P41" s="1">
        <v>2</v>
      </c>
      <c r="Q41" s="1">
        <f>Table14[[#This Row],[Promoters]]-Table14[[#This Row],[Detractors]]</f>
        <v>96</v>
      </c>
    </row>
    <row r="42" spans="1:17" x14ac:dyDescent="0.3">
      <c r="A42" s="1" t="s">
        <v>83</v>
      </c>
      <c r="B42" s="1" t="s">
        <v>49</v>
      </c>
      <c r="C42" s="1" t="s">
        <v>89</v>
      </c>
      <c r="D42" s="1" t="s">
        <v>84</v>
      </c>
      <c r="E42" s="54">
        <v>45492.97625039352</v>
      </c>
      <c r="F42" s="54">
        <v>45493.02208372685</v>
      </c>
      <c r="G42" s="1">
        <v>66</v>
      </c>
      <c r="H42" s="1">
        <v>961</v>
      </c>
      <c r="I42" s="1">
        <v>34</v>
      </c>
      <c r="J42" s="1">
        <v>958</v>
      </c>
      <c r="K42" s="12">
        <f>(Table14[[#This Row],[Customers End]]-Table14[[#This Row],[New Customers Acquired]])/Table14[[#This Row],[Customers Start]]</f>
        <v>0.96149843912591049</v>
      </c>
      <c r="L42" s="1">
        <v>160</v>
      </c>
      <c r="M42" s="1">
        <v>22</v>
      </c>
      <c r="N42" s="30">
        <v>23.300970873786401</v>
      </c>
      <c r="O42" s="1">
        <v>88</v>
      </c>
      <c r="P42" s="1">
        <v>44</v>
      </c>
      <c r="Q42" s="1">
        <f>Table14[[#This Row],[Promoters]]-Table14[[#This Row],[Detractors]]</f>
        <v>44</v>
      </c>
    </row>
    <row r="43" spans="1:17" x14ac:dyDescent="0.3">
      <c r="A43" s="1" t="s">
        <v>87</v>
      </c>
      <c r="B43" s="1" t="s">
        <v>49</v>
      </c>
      <c r="C43" s="1" t="s">
        <v>90</v>
      </c>
      <c r="D43" s="1" t="s">
        <v>84</v>
      </c>
      <c r="E43" s="54">
        <v>45484.110972615737</v>
      </c>
      <c r="F43" s="54">
        <v>45484.142917060184</v>
      </c>
      <c r="G43" s="1">
        <v>46</v>
      </c>
      <c r="H43" s="1">
        <v>950</v>
      </c>
      <c r="I43" s="1">
        <v>64</v>
      </c>
      <c r="J43" s="1">
        <v>991</v>
      </c>
      <c r="K43" s="12">
        <f>(Table14[[#This Row],[Customers End]]-Table14[[#This Row],[New Customers Acquired]])/Table14[[#This Row],[Customers Start]]</f>
        <v>0.97578947368421054</v>
      </c>
      <c r="L43" s="1">
        <v>110</v>
      </c>
      <c r="M43" s="1">
        <v>8</v>
      </c>
      <c r="N43" s="30">
        <v>23.300970873786401</v>
      </c>
      <c r="O43" s="1">
        <v>81</v>
      </c>
      <c r="P43" s="1">
        <v>12</v>
      </c>
      <c r="Q43" s="1">
        <f>Table14[[#This Row],[Promoters]]-Table14[[#This Row],[Detractors]]</f>
        <v>69</v>
      </c>
    </row>
    <row r="44" spans="1:17" x14ac:dyDescent="0.3">
      <c r="A44" s="1" t="s">
        <v>81</v>
      </c>
      <c r="B44" s="1" t="s">
        <v>49</v>
      </c>
      <c r="C44" s="1" t="s">
        <v>88</v>
      </c>
      <c r="D44" s="1" t="s">
        <v>84</v>
      </c>
      <c r="E44" s="54">
        <v>45495.298472615737</v>
      </c>
      <c r="F44" s="54">
        <v>45495.310278171295</v>
      </c>
      <c r="G44" s="1">
        <v>17</v>
      </c>
      <c r="H44" s="1">
        <v>954</v>
      </c>
      <c r="I44" s="1">
        <v>98</v>
      </c>
      <c r="J44" s="1">
        <v>1048</v>
      </c>
      <c r="K44" s="12">
        <f>(Table14[[#This Row],[Customers End]]-Table14[[#This Row],[New Customers Acquired]])/Table14[[#This Row],[Customers Start]]</f>
        <v>0.99580712788259962</v>
      </c>
      <c r="L44" s="1">
        <v>97</v>
      </c>
      <c r="M44" s="1">
        <v>11</v>
      </c>
      <c r="N44" s="30">
        <v>23.300970873786401</v>
      </c>
      <c r="O44" s="1">
        <v>73</v>
      </c>
      <c r="P44" s="1">
        <v>49</v>
      </c>
      <c r="Q44" s="1">
        <f>Table14[[#This Row],[Promoters]]-Table14[[#This Row],[Detractors]]</f>
        <v>24</v>
      </c>
    </row>
    <row r="45" spans="1:17" x14ac:dyDescent="0.3">
      <c r="A45" s="1" t="s">
        <v>86</v>
      </c>
      <c r="B45" s="1" t="s">
        <v>45</v>
      </c>
      <c r="C45" s="1" t="s">
        <v>90</v>
      </c>
      <c r="D45" s="1" t="s">
        <v>85</v>
      </c>
      <c r="E45" s="54">
        <v>45486.148472615743</v>
      </c>
      <c r="F45" s="54">
        <v>45486.187361504628</v>
      </c>
      <c r="G45" s="1">
        <v>56</v>
      </c>
      <c r="H45" s="1">
        <v>963</v>
      </c>
      <c r="I45" s="1">
        <v>46</v>
      </c>
      <c r="J45" s="1">
        <v>976</v>
      </c>
      <c r="K45" s="12">
        <f>(Table14[[#This Row],[Customers End]]-Table14[[#This Row],[New Customers Acquired]])/Table14[[#This Row],[Customers Start]]</f>
        <v>0.96573208722741433</v>
      </c>
      <c r="L45" s="1">
        <v>196</v>
      </c>
      <c r="M45" s="1">
        <v>128</v>
      </c>
      <c r="N45" s="30">
        <v>23.300970873786401</v>
      </c>
      <c r="O45" s="1">
        <v>72</v>
      </c>
      <c r="P45" s="1">
        <v>27</v>
      </c>
      <c r="Q45" s="1">
        <f>Table14[[#This Row],[Promoters]]-Table14[[#This Row],[Detractors]]</f>
        <v>45</v>
      </c>
    </row>
    <row r="46" spans="1:17" x14ac:dyDescent="0.3">
      <c r="A46" s="1" t="s">
        <v>83</v>
      </c>
      <c r="B46" s="1" t="s">
        <v>44</v>
      </c>
      <c r="C46" s="1" t="s">
        <v>89</v>
      </c>
      <c r="D46" s="1" t="s">
        <v>84</v>
      </c>
      <c r="E46" s="54">
        <v>45484.004028171294</v>
      </c>
      <c r="F46" s="54">
        <v>45484.085972615743</v>
      </c>
      <c r="G46" s="1">
        <v>118</v>
      </c>
      <c r="H46" s="1">
        <v>902</v>
      </c>
      <c r="I46" s="1">
        <v>77</v>
      </c>
      <c r="J46" s="1">
        <v>974</v>
      </c>
      <c r="K46" s="12">
        <f>(Table14[[#This Row],[Customers End]]-Table14[[#This Row],[New Customers Acquired]])/Table14[[#This Row],[Customers Start]]</f>
        <v>0.99445676274944572</v>
      </c>
      <c r="L46" s="1">
        <v>53</v>
      </c>
      <c r="M46" s="1">
        <v>0</v>
      </c>
      <c r="N46" s="30">
        <v>23.300970873786401</v>
      </c>
      <c r="O46" s="1">
        <v>81</v>
      </c>
      <c r="P46" s="1">
        <v>19</v>
      </c>
      <c r="Q46" s="1">
        <f>Table14[[#This Row],[Promoters]]-Table14[[#This Row],[Detractors]]</f>
        <v>62</v>
      </c>
    </row>
    <row r="47" spans="1:17" x14ac:dyDescent="0.3">
      <c r="A47" s="1" t="s">
        <v>86</v>
      </c>
      <c r="B47" s="1" t="s">
        <v>42</v>
      </c>
      <c r="C47" s="1" t="s">
        <v>89</v>
      </c>
      <c r="D47" s="1" t="s">
        <v>82</v>
      </c>
      <c r="E47" s="54">
        <v>45479.013750393518</v>
      </c>
      <c r="F47" s="54">
        <v>45479.072083726853</v>
      </c>
      <c r="G47" s="1">
        <v>84</v>
      </c>
      <c r="H47" s="1">
        <v>950</v>
      </c>
      <c r="I47" s="1">
        <v>2</v>
      </c>
      <c r="J47" s="1">
        <v>931</v>
      </c>
      <c r="K47" s="12">
        <f>(Table14[[#This Row],[Customers End]]-Table14[[#This Row],[New Customers Acquired]])/Table14[[#This Row],[Customers Start]]</f>
        <v>0.97789473684210526</v>
      </c>
      <c r="L47" s="1">
        <v>84</v>
      </c>
      <c r="M47" s="1">
        <v>33</v>
      </c>
      <c r="N47" s="30">
        <v>23.300970873786401</v>
      </c>
      <c r="O47" s="1">
        <v>86</v>
      </c>
      <c r="P47" s="1">
        <v>27</v>
      </c>
      <c r="Q47" s="1">
        <f>Table14[[#This Row],[Promoters]]-Table14[[#This Row],[Detractors]]</f>
        <v>59</v>
      </c>
    </row>
    <row r="48" spans="1:17" x14ac:dyDescent="0.3">
      <c r="A48" s="1" t="s">
        <v>83</v>
      </c>
      <c r="B48" s="1" t="s">
        <v>45</v>
      </c>
      <c r="C48" s="1" t="s">
        <v>89</v>
      </c>
      <c r="D48" s="1" t="s">
        <v>82</v>
      </c>
      <c r="E48" s="54">
        <v>45474.786667060187</v>
      </c>
      <c r="F48" s="54">
        <v>45474.819305949073</v>
      </c>
      <c r="G48" s="1">
        <v>47</v>
      </c>
      <c r="H48" s="1">
        <v>906</v>
      </c>
      <c r="I48" s="1">
        <v>0</v>
      </c>
      <c r="J48" s="1">
        <v>896</v>
      </c>
      <c r="K48" s="12">
        <f>(Table14[[#This Row],[Customers End]]-Table14[[#This Row],[New Customers Acquired]])/Table14[[#This Row],[Customers Start]]</f>
        <v>0.98896247240618107</v>
      </c>
      <c r="L48" s="1">
        <v>98</v>
      </c>
      <c r="M48" s="1">
        <v>95</v>
      </c>
      <c r="N48" s="30">
        <v>23.300970873786401</v>
      </c>
      <c r="O48" s="1">
        <v>61</v>
      </c>
      <c r="P48" s="1">
        <v>7</v>
      </c>
      <c r="Q48" s="1">
        <f>Table14[[#This Row],[Promoters]]-Table14[[#This Row],[Detractors]]</f>
        <v>54</v>
      </c>
    </row>
    <row r="49" spans="1:17" x14ac:dyDescent="0.3">
      <c r="A49" s="1" t="s">
        <v>87</v>
      </c>
      <c r="B49" s="1" t="s">
        <v>42</v>
      </c>
      <c r="C49" s="1" t="s">
        <v>90</v>
      </c>
      <c r="D49" s="1" t="s">
        <v>84</v>
      </c>
      <c r="E49" s="54">
        <v>45493.767222615737</v>
      </c>
      <c r="F49" s="54">
        <v>45493.832500393517</v>
      </c>
      <c r="G49" s="1">
        <v>94</v>
      </c>
      <c r="H49" s="1">
        <v>920</v>
      </c>
      <c r="I49" s="1">
        <v>4</v>
      </c>
      <c r="J49" s="1">
        <v>877</v>
      </c>
      <c r="K49" s="12">
        <f>(Table14[[#This Row],[Customers End]]-Table14[[#This Row],[New Customers Acquired]])/Table14[[#This Row],[Customers Start]]</f>
        <v>0.94891304347826089</v>
      </c>
      <c r="L49" s="1">
        <v>66</v>
      </c>
      <c r="M49" s="1">
        <v>47</v>
      </c>
      <c r="N49" s="30">
        <v>23.300970873786401</v>
      </c>
      <c r="O49" s="1">
        <v>98</v>
      </c>
      <c r="P49" s="1">
        <v>40</v>
      </c>
      <c r="Q49" s="1">
        <f>Table14[[#This Row],[Promoters]]-Table14[[#This Row],[Detractors]]</f>
        <v>58</v>
      </c>
    </row>
    <row r="50" spans="1:17" x14ac:dyDescent="0.3">
      <c r="A50" s="1" t="s">
        <v>86</v>
      </c>
      <c r="B50" s="1" t="s">
        <v>44</v>
      </c>
      <c r="C50" s="1" t="s">
        <v>90</v>
      </c>
      <c r="D50" s="1" t="s">
        <v>84</v>
      </c>
      <c r="E50" s="54">
        <v>45475.841528171295</v>
      </c>
      <c r="F50" s="54">
        <v>45475.861667060184</v>
      </c>
      <c r="G50" s="1">
        <v>29</v>
      </c>
      <c r="H50" s="1">
        <v>972</v>
      </c>
      <c r="I50" s="1">
        <v>89</v>
      </c>
      <c r="J50" s="1">
        <v>1046</v>
      </c>
      <c r="K50" s="12">
        <f>(Table14[[#This Row],[Customers End]]-Table14[[#This Row],[New Customers Acquired]])/Table14[[#This Row],[Customers Start]]</f>
        <v>0.98456790123456794</v>
      </c>
      <c r="L50" s="1">
        <v>95</v>
      </c>
      <c r="M50" s="1">
        <v>88</v>
      </c>
      <c r="N50" s="30">
        <v>23.300970873786401</v>
      </c>
      <c r="O50" s="1">
        <v>62</v>
      </c>
      <c r="P50" s="1">
        <v>38</v>
      </c>
      <c r="Q50" s="1">
        <f>Table14[[#This Row],[Promoters]]-Table14[[#This Row],[Detractors]]</f>
        <v>24</v>
      </c>
    </row>
    <row r="51" spans="1:17" x14ac:dyDescent="0.3">
      <c r="A51" s="1" t="s">
        <v>83</v>
      </c>
      <c r="B51" s="1" t="s">
        <v>49</v>
      </c>
      <c r="C51" s="1" t="s">
        <v>90</v>
      </c>
      <c r="D51" s="1" t="s">
        <v>82</v>
      </c>
      <c r="E51" s="54">
        <v>45485.986667060184</v>
      </c>
      <c r="F51" s="54">
        <v>45486.038055949073</v>
      </c>
      <c r="G51" s="1">
        <v>74</v>
      </c>
      <c r="H51" s="1">
        <v>938</v>
      </c>
      <c r="I51" s="1">
        <v>13</v>
      </c>
      <c r="J51" s="1">
        <v>919</v>
      </c>
      <c r="K51" s="12">
        <f>(Table14[[#This Row],[Customers End]]-Table14[[#This Row],[New Customers Acquired]])/Table14[[#This Row],[Customers Start]]</f>
        <v>0.9658848614072495</v>
      </c>
      <c r="L51" s="1">
        <v>166</v>
      </c>
      <c r="M51" s="1">
        <v>116</v>
      </c>
      <c r="N51" s="30">
        <v>23.300970873786401</v>
      </c>
      <c r="O51" s="1">
        <v>72</v>
      </c>
      <c r="P51" s="1">
        <v>0</v>
      </c>
      <c r="Q51" s="1">
        <f>Table14[[#This Row],[Promoters]]-Table14[[#This Row],[Detractors]]</f>
        <v>72</v>
      </c>
    </row>
    <row r="52" spans="1:17" x14ac:dyDescent="0.3">
      <c r="A52" s="1" t="s">
        <v>87</v>
      </c>
      <c r="B52" s="1" t="s">
        <v>44</v>
      </c>
      <c r="C52" s="1" t="s">
        <v>90</v>
      </c>
      <c r="D52" s="1" t="s">
        <v>82</v>
      </c>
      <c r="E52" s="54">
        <v>45492.854028171299</v>
      </c>
      <c r="F52" s="54">
        <v>45492.917917060186</v>
      </c>
      <c r="G52" s="1">
        <v>92</v>
      </c>
      <c r="H52" s="1">
        <v>917</v>
      </c>
      <c r="I52" s="1">
        <v>26</v>
      </c>
      <c r="J52" s="1">
        <v>935</v>
      </c>
      <c r="K52" s="12">
        <f>(Table14[[#This Row],[Customers End]]-Table14[[#This Row],[New Customers Acquired]])/Table14[[#This Row],[Customers Start]]</f>
        <v>0.99127589967284624</v>
      </c>
      <c r="L52" s="1">
        <v>55</v>
      </c>
      <c r="M52" s="1">
        <v>0</v>
      </c>
      <c r="N52" s="30">
        <v>23.300970873786401</v>
      </c>
      <c r="O52" s="1">
        <v>74</v>
      </c>
      <c r="P52" s="1">
        <v>2</v>
      </c>
      <c r="Q52" s="1">
        <f>Table14[[#This Row],[Promoters]]-Table14[[#This Row],[Detractors]]</f>
        <v>72</v>
      </c>
    </row>
    <row r="53" spans="1:17" x14ac:dyDescent="0.3">
      <c r="A53" s="1" t="s">
        <v>86</v>
      </c>
      <c r="B53" s="1" t="s">
        <v>45</v>
      </c>
      <c r="C53" s="1" t="s">
        <v>89</v>
      </c>
      <c r="D53" s="1" t="s">
        <v>85</v>
      </c>
      <c r="E53" s="54">
        <v>45486.326944837965</v>
      </c>
      <c r="F53" s="54">
        <v>45486.354028171299</v>
      </c>
      <c r="G53" s="1">
        <v>39</v>
      </c>
      <c r="H53" s="1">
        <v>903</v>
      </c>
      <c r="I53" s="1">
        <v>8</v>
      </c>
      <c r="J53" s="1">
        <v>906</v>
      </c>
      <c r="K53" s="12">
        <f>(Table14[[#This Row],[Customers End]]-Table14[[#This Row],[New Customers Acquired]])/Table14[[#This Row],[Customers Start]]</f>
        <v>0.99446290143964566</v>
      </c>
      <c r="L53" s="1">
        <v>148</v>
      </c>
      <c r="M53" s="1">
        <v>15</v>
      </c>
      <c r="N53" s="30">
        <v>23.300970873786401</v>
      </c>
      <c r="O53" s="1">
        <v>84</v>
      </c>
      <c r="P53" s="1">
        <v>12</v>
      </c>
      <c r="Q53" s="1">
        <f>Table14[[#This Row],[Promoters]]-Table14[[#This Row],[Detractors]]</f>
        <v>72</v>
      </c>
    </row>
    <row r="54" spans="1:17" x14ac:dyDescent="0.3">
      <c r="A54" s="1" t="s">
        <v>86</v>
      </c>
      <c r="B54" s="1" t="s">
        <v>49</v>
      </c>
      <c r="C54" s="1" t="s">
        <v>89</v>
      </c>
      <c r="D54" s="1" t="s">
        <v>82</v>
      </c>
      <c r="E54" s="54">
        <v>45470.843611504628</v>
      </c>
      <c r="F54" s="54">
        <v>45470.852639282406</v>
      </c>
      <c r="G54" s="1">
        <v>13</v>
      </c>
      <c r="H54" s="1">
        <v>988</v>
      </c>
      <c r="I54" s="1">
        <v>78</v>
      </c>
      <c r="J54" s="1">
        <v>1051</v>
      </c>
      <c r="K54" s="12">
        <f>(Table14[[#This Row],[Customers End]]-Table14[[#This Row],[New Customers Acquired]])/Table14[[#This Row],[Customers Start]]</f>
        <v>0.98481781376518218</v>
      </c>
      <c r="L54" s="1">
        <v>173</v>
      </c>
      <c r="M54" s="1">
        <v>68</v>
      </c>
      <c r="N54" s="30">
        <v>23.300970873786401</v>
      </c>
      <c r="O54" s="1">
        <v>90</v>
      </c>
      <c r="P54" s="1">
        <v>27</v>
      </c>
      <c r="Q54" s="1">
        <f>Table14[[#This Row],[Promoters]]-Table14[[#This Row],[Detractors]]</f>
        <v>63</v>
      </c>
    </row>
    <row r="55" spans="1:17" x14ac:dyDescent="0.3">
      <c r="A55" s="1" t="s">
        <v>83</v>
      </c>
      <c r="B55" s="1" t="s">
        <v>45</v>
      </c>
      <c r="C55" s="1" t="s">
        <v>88</v>
      </c>
      <c r="D55" s="1" t="s">
        <v>82</v>
      </c>
      <c r="E55" s="54">
        <v>45476.599861504626</v>
      </c>
      <c r="F55" s="54">
        <v>45476.681111504629</v>
      </c>
      <c r="G55" s="1">
        <v>117</v>
      </c>
      <c r="H55" s="1">
        <v>959</v>
      </c>
      <c r="I55" s="1">
        <v>14</v>
      </c>
      <c r="J55" s="1">
        <v>945</v>
      </c>
      <c r="K55" s="12">
        <f>(Table14[[#This Row],[Customers End]]-Table14[[#This Row],[New Customers Acquired]])/Table14[[#This Row],[Customers Start]]</f>
        <v>0.97080291970802923</v>
      </c>
      <c r="L55" s="1">
        <v>86</v>
      </c>
      <c r="M55" s="1">
        <v>21</v>
      </c>
      <c r="N55" s="30">
        <v>23.300970873786401</v>
      </c>
      <c r="O55" s="1">
        <v>79</v>
      </c>
      <c r="P55" s="1">
        <v>48</v>
      </c>
      <c r="Q55" s="1">
        <f>Table14[[#This Row],[Promoters]]-Table14[[#This Row],[Detractors]]</f>
        <v>31</v>
      </c>
    </row>
    <row r="56" spans="1:17" x14ac:dyDescent="0.3">
      <c r="A56" s="1" t="s">
        <v>83</v>
      </c>
      <c r="B56" s="1" t="s">
        <v>49</v>
      </c>
      <c r="C56" s="1" t="s">
        <v>88</v>
      </c>
      <c r="D56" s="1" t="s">
        <v>84</v>
      </c>
      <c r="E56" s="54">
        <v>45476.263055949072</v>
      </c>
      <c r="F56" s="54">
        <v>45476.275555949076</v>
      </c>
      <c r="G56" s="1">
        <v>18</v>
      </c>
      <c r="H56" s="1">
        <v>913</v>
      </c>
      <c r="I56" s="1">
        <v>89</v>
      </c>
      <c r="J56" s="1">
        <v>1000</v>
      </c>
      <c r="K56" s="12">
        <f>(Table14[[#This Row],[Customers End]]-Table14[[#This Row],[New Customers Acquired]])/Table14[[#This Row],[Customers Start]]</f>
        <v>0.99780941949616653</v>
      </c>
      <c r="L56" s="1">
        <v>73</v>
      </c>
      <c r="M56" s="1">
        <v>66</v>
      </c>
      <c r="N56" s="30">
        <v>23.300970873786401</v>
      </c>
      <c r="O56" s="1">
        <v>66</v>
      </c>
      <c r="P56" s="1">
        <v>24</v>
      </c>
      <c r="Q56" s="1">
        <f>Table14[[#This Row],[Promoters]]-Table14[[#This Row],[Detractors]]</f>
        <v>42</v>
      </c>
    </row>
    <row r="57" spans="1:17" x14ac:dyDescent="0.3">
      <c r="A57" s="1" t="s">
        <v>83</v>
      </c>
      <c r="B57" s="1" t="s">
        <v>42</v>
      </c>
      <c r="C57" s="1" t="s">
        <v>90</v>
      </c>
      <c r="D57" s="1" t="s">
        <v>82</v>
      </c>
      <c r="E57" s="54">
        <v>45471.058194837962</v>
      </c>
      <c r="F57" s="54">
        <v>45471.107500393518</v>
      </c>
      <c r="G57" s="1">
        <v>71</v>
      </c>
      <c r="H57" s="1">
        <v>908</v>
      </c>
      <c r="I57" s="1">
        <v>41</v>
      </c>
      <c r="J57" s="1">
        <v>930</v>
      </c>
      <c r="K57" s="12">
        <f>(Table14[[#This Row],[Customers End]]-Table14[[#This Row],[New Customers Acquired]])/Table14[[#This Row],[Customers Start]]</f>
        <v>0.97907488986784141</v>
      </c>
      <c r="L57" s="1">
        <v>142</v>
      </c>
      <c r="M57" s="1">
        <v>75</v>
      </c>
      <c r="N57" s="30">
        <v>23.300970873786401</v>
      </c>
      <c r="O57" s="1">
        <v>98</v>
      </c>
      <c r="P57" s="1">
        <v>32</v>
      </c>
      <c r="Q57" s="1">
        <f>Table14[[#This Row],[Promoters]]-Table14[[#This Row],[Detractors]]</f>
        <v>66</v>
      </c>
    </row>
    <row r="58" spans="1:17" x14ac:dyDescent="0.3">
      <c r="A58" s="1" t="s">
        <v>87</v>
      </c>
      <c r="B58" s="1" t="s">
        <v>42</v>
      </c>
      <c r="C58" s="1" t="s">
        <v>89</v>
      </c>
      <c r="D58" s="1" t="s">
        <v>85</v>
      </c>
      <c r="E58" s="54">
        <v>45485.606111504632</v>
      </c>
      <c r="F58" s="54">
        <v>45485.616528171297</v>
      </c>
      <c r="G58" s="1">
        <v>15</v>
      </c>
      <c r="H58" s="1">
        <v>989</v>
      </c>
      <c r="I58" s="1">
        <v>76</v>
      </c>
      <c r="J58" s="1">
        <v>1030</v>
      </c>
      <c r="K58" s="12">
        <f>(Table14[[#This Row],[Customers End]]-Table14[[#This Row],[New Customers Acquired]])/Table14[[#This Row],[Customers Start]]</f>
        <v>0.96461071789686548</v>
      </c>
      <c r="L58" s="1">
        <v>95</v>
      </c>
      <c r="M58" s="1">
        <v>25</v>
      </c>
      <c r="N58" s="30">
        <v>23.300970873786401</v>
      </c>
      <c r="O58" s="1">
        <v>69</v>
      </c>
      <c r="P58" s="1">
        <v>37</v>
      </c>
      <c r="Q58" s="1">
        <f>Table14[[#This Row],[Promoters]]-Table14[[#This Row],[Detractors]]</f>
        <v>32</v>
      </c>
    </row>
    <row r="59" spans="1:17" x14ac:dyDescent="0.3">
      <c r="A59" s="1" t="s">
        <v>83</v>
      </c>
      <c r="B59" s="1" t="s">
        <v>42</v>
      </c>
      <c r="C59" s="1" t="s">
        <v>89</v>
      </c>
      <c r="D59" s="1" t="s">
        <v>82</v>
      </c>
      <c r="E59" s="54">
        <v>45487.249167060188</v>
      </c>
      <c r="F59" s="54">
        <v>45487.263055949072</v>
      </c>
      <c r="G59" s="1">
        <v>20</v>
      </c>
      <c r="H59" s="1">
        <v>952</v>
      </c>
      <c r="I59" s="1">
        <v>50</v>
      </c>
      <c r="J59" s="1">
        <v>984</v>
      </c>
      <c r="K59" s="12">
        <f>(Table14[[#This Row],[Customers End]]-Table14[[#This Row],[New Customers Acquired]])/Table14[[#This Row],[Customers Start]]</f>
        <v>0.98109243697478987</v>
      </c>
      <c r="L59" s="1">
        <v>144</v>
      </c>
      <c r="M59" s="1">
        <v>143</v>
      </c>
      <c r="N59" s="30">
        <v>23.300970873786401</v>
      </c>
      <c r="O59" s="1">
        <v>97</v>
      </c>
      <c r="P59" s="1">
        <v>5</v>
      </c>
      <c r="Q59" s="1">
        <f>Table14[[#This Row],[Promoters]]-Table14[[#This Row],[Detractors]]</f>
        <v>92</v>
      </c>
    </row>
    <row r="60" spans="1:17" x14ac:dyDescent="0.3">
      <c r="A60" s="1" t="s">
        <v>86</v>
      </c>
      <c r="B60" s="1" t="s">
        <v>44</v>
      </c>
      <c r="C60" s="1" t="s">
        <v>89</v>
      </c>
      <c r="D60" s="1" t="s">
        <v>84</v>
      </c>
      <c r="E60" s="54">
        <v>45495.149861504629</v>
      </c>
      <c r="F60" s="54">
        <v>45495.16375039352</v>
      </c>
      <c r="G60" s="1">
        <v>20</v>
      </c>
      <c r="H60" s="1">
        <v>901</v>
      </c>
      <c r="I60" s="1">
        <v>62</v>
      </c>
      <c r="J60" s="1">
        <v>938</v>
      </c>
      <c r="K60" s="12">
        <f>(Table14[[#This Row],[Customers End]]-Table14[[#This Row],[New Customers Acquired]])/Table14[[#This Row],[Customers Start]]</f>
        <v>0.97225305216426194</v>
      </c>
      <c r="L60" s="1">
        <v>148</v>
      </c>
      <c r="M60" s="1">
        <v>85</v>
      </c>
      <c r="N60" s="30">
        <v>23.300970873786401</v>
      </c>
      <c r="O60" s="1">
        <v>74</v>
      </c>
      <c r="P60" s="1">
        <v>43</v>
      </c>
      <c r="Q60" s="1">
        <f>Table14[[#This Row],[Promoters]]-Table14[[#This Row],[Detractors]]</f>
        <v>31</v>
      </c>
    </row>
    <row r="61" spans="1:17" x14ac:dyDescent="0.3">
      <c r="A61" s="1" t="s">
        <v>86</v>
      </c>
      <c r="B61" s="1" t="s">
        <v>45</v>
      </c>
      <c r="C61" s="1" t="s">
        <v>88</v>
      </c>
      <c r="D61" s="1" t="s">
        <v>84</v>
      </c>
      <c r="E61" s="54">
        <v>45480.773472615743</v>
      </c>
      <c r="F61" s="54">
        <v>45480.830417060184</v>
      </c>
      <c r="G61" s="1">
        <v>82</v>
      </c>
      <c r="H61" s="1">
        <v>983</v>
      </c>
      <c r="I61" s="1">
        <v>95</v>
      </c>
      <c r="J61" s="1">
        <v>1076</v>
      </c>
      <c r="K61" s="12">
        <f>(Table14[[#This Row],[Customers End]]-Table14[[#This Row],[New Customers Acquired]])/Table14[[#This Row],[Customers Start]]</f>
        <v>0.99796541200406919</v>
      </c>
      <c r="L61" s="1">
        <v>165</v>
      </c>
      <c r="M61" s="1">
        <v>28</v>
      </c>
      <c r="N61" s="30">
        <v>23.300970873786401</v>
      </c>
      <c r="O61" s="1">
        <v>71</v>
      </c>
      <c r="P61" s="1">
        <v>44</v>
      </c>
      <c r="Q61" s="1">
        <f>Table14[[#This Row],[Promoters]]-Table14[[#This Row],[Detractors]]</f>
        <v>27</v>
      </c>
    </row>
    <row r="62" spans="1:17" x14ac:dyDescent="0.3">
      <c r="A62" s="1" t="s">
        <v>83</v>
      </c>
      <c r="B62" s="1" t="s">
        <v>44</v>
      </c>
      <c r="C62" s="1" t="s">
        <v>88</v>
      </c>
      <c r="D62" s="1" t="s">
        <v>82</v>
      </c>
      <c r="E62" s="54">
        <v>45488.472083726854</v>
      </c>
      <c r="F62" s="54">
        <v>45488.481111504632</v>
      </c>
      <c r="G62" s="1">
        <v>13</v>
      </c>
      <c r="H62" s="1">
        <v>991</v>
      </c>
      <c r="I62" s="1">
        <v>51</v>
      </c>
      <c r="J62" s="1">
        <v>1024</v>
      </c>
      <c r="K62" s="12">
        <f>(Table14[[#This Row],[Customers End]]-Table14[[#This Row],[New Customers Acquired]])/Table14[[#This Row],[Customers Start]]</f>
        <v>0.98183652875882943</v>
      </c>
      <c r="L62" s="1">
        <v>116</v>
      </c>
      <c r="M62" s="1">
        <v>77</v>
      </c>
      <c r="N62" s="30">
        <v>23.300970873786401</v>
      </c>
      <c r="O62" s="1">
        <v>62</v>
      </c>
      <c r="P62" s="1">
        <v>31</v>
      </c>
      <c r="Q62" s="1">
        <f>Table14[[#This Row],[Promoters]]-Table14[[#This Row],[Detractors]]</f>
        <v>31</v>
      </c>
    </row>
    <row r="63" spans="1:17" x14ac:dyDescent="0.3">
      <c r="A63" s="1" t="s">
        <v>83</v>
      </c>
      <c r="B63" s="1" t="s">
        <v>42</v>
      </c>
      <c r="C63" s="1" t="s">
        <v>89</v>
      </c>
      <c r="D63" s="1" t="s">
        <v>84</v>
      </c>
      <c r="E63" s="54">
        <v>45470.477639282406</v>
      </c>
      <c r="F63" s="54">
        <v>45470.529722615742</v>
      </c>
      <c r="G63" s="1">
        <v>75</v>
      </c>
      <c r="H63" s="1">
        <v>959</v>
      </c>
      <c r="I63" s="1">
        <v>95</v>
      </c>
      <c r="J63" s="1">
        <v>1035</v>
      </c>
      <c r="K63" s="12">
        <f>(Table14[[#This Row],[Customers End]]-Table14[[#This Row],[New Customers Acquired]])/Table14[[#This Row],[Customers Start]]</f>
        <v>0.98018769551616269</v>
      </c>
      <c r="L63" s="1">
        <v>177</v>
      </c>
      <c r="M63" s="1">
        <v>68</v>
      </c>
      <c r="N63" s="30">
        <v>23.300970873786401</v>
      </c>
      <c r="O63" s="1">
        <v>68</v>
      </c>
      <c r="P63" s="1">
        <v>44</v>
      </c>
      <c r="Q63" s="1">
        <f>Table14[[#This Row],[Promoters]]-Table14[[#This Row],[Detractors]]</f>
        <v>24</v>
      </c>
    </row>
    <row r="64" spans="1:17" x14ac:dyDescent="0.3">
      <c r="A64" s="1" t="s">
        <v>81</v>
      </c>
      <c r="B64" s="1" t="s">
        <v>45</v>
      </c>
      <c r="C64" s="1" t="s">
        <v>89</v>
      </c>
      <c r="D64" s="1" t="s">
        <v>85</v>
      </c>
      <c r="E64" s="54">
        <v>45471.57000039352</v>
      </c>
      <c r="F64" s="54">
        <v>45471.639444837965</v>
      </c>
      <c r="G64" s="1">
        <v>100</v>
      </c>
      <c r="H64" s="1">
        <v>970</v>
      </c>
      <c r="I64" s="1">
        <v>3</v>
      </c>
      <c r="J64" s="1">
        <v>942</v>
      </c>
      <c r="K64" s="12">
        <f>(Table14[[#This Row],[Customers End]]-Table14[[#This Row],[New Customers Acquired]])/Table14[[#This Row],[Customers Start]]</f>
        <v>0.96804123711340206</v>
      </c>
      <c r="L64" s="1">
        <v>67</v>
      </c>
      <c r="M64" s="1">
        <v>46</v>
      </c>
      <c r="N64" s="30">
        <v>23.300970873786401</v>
      </c>
      <c r="O64" s="1">
        <v>98</v>
      </c>
      <c r="P64" s="1">
        <v>46</v>
      </c>
      <c r="Q64" s="1">
        <f>Table14[[#This Row],[Promoters]]-Table14[[#This Row],[Detractors]]</f>
        <v>52</v>
      </c>
    </row>
    <row r="65" spans="1:17" x14ac:dyDescent="0.3">
      <c r="A65" s="1" t="s">
        <v>86</v>
      </c>
      <c r="B65" s="1" t="s">
        <v>42</v>
      </c>
      <c r="C65" s="1" t="s">
        <v>89</v>
      </c>
      <c r="D65" s="1" t="s">
        <v>85</v>
      </c>
      <c r="E65" s="54">
        <v>45490.292917060186</v>
      </c>
      <c r="F65" s="54">
        <v>45490.30263928241</v>
      </c>
      <c r="G65" s="1">
        <v>14</v>
      </c>
      <c r="H65" s="1">
        <v>943</v>
      </c>
      <c r="I65" s="1">
        <v>93</v>
      </c>
      <c r="J65" s="1">
        <v>1030</v>
      </c>
      <c r="K65" s="12">
        <f>(Table14[[#This Row],[Customers End]]-Table14[[#This Row],[New Customers Acquired]])/Table14[[#This Row],[Customers Start]]</f>
        <v>0.99363732767762458</v>
      </c>
      <c r="L65" s="1">
        <v>74</v>
      </c>
      <c r="M65" s="1">
        <v>61</v>
      </c>
      <c r="N65" s="30">
        <v>23.300970873786401</v>
      </c>
      <c r="O65" s="1">
        <v>85</v>
      </c>
      <c r="P65" s="1">
        <v>20</v>
      </c>
      <c r="Q65" s="1">
        <f>Table14[[#This Row],[Promoters]]-Table14[[#This Row],[Detractors]]</f>
        <v>65</v>
      </c>
    </row>
    <row r="66" spans="1:17" x14ac:dyDescent="0.3">
      <c r="A66" s="1" t="s">
        <v>87</v>
      </c>
      <c r="B66" s="1" t="s">
        <v>44</v>
      </c>
      <c r="C66" s="1" t="s">
        <v>88</v>
      </c>
      <c r="D66" s="1" t="s">
        <v>82</v>
      </c>
      <c r="E66" s="54">
        <v>45480.898472615743</v>
      </c>
      <c r="F66" s="54">
        <v>45480.939444837961</v>
      </c>
      <c r="G66" s="1">
        <v>59</v>
      </c>
      <c r="H66" s="1">
        <v>907</v>
      </c>
      <c r="I66" s="1">
        <v>22</v>
      </c>
      <c r="J66" s="1">
        <v>889</v>
      </c>
      <c r="K66" s="12">
        <f>(Table14[[#This Row],[Customers End]]-Table14[[#This Row],[New Customers Acquired]])/Table14[[#This Row],[Customers Start]]</f>
        <v>0.95589856670341788</v>
      </c>
      <c r="L66" s="1">
        <v>103</v>
      </c>
      <c r="M66" s="1">
        <v>68</v>
      </c>
      <c r="N66" s="30">
        <v>23.300970873786401</v>
      </c>
      <c r="O66" s="1">
        <v>61</v>
      </c>
      <c r="P66" s="1">
        <v>15</v>
      </c>
      <c r="Q66" s="1">
        <f>Table14[[#This Row],[Promoters]]-Table14[[#This Row],[Detractors]]</f>
        <v>46</v>
      </c>
    </row>
    <row r="67" spans="1:17" x14ac:dyDescent="0.3">
      <c r="A67" s="1" t="s">
        <v>81</v>
      </c>
      <c r="B67" s="1" t="s">
        <v>44</v>
      </c>
      <c r="C67" s="1" t="s">
        <v>89</v>
      </c>
      <c r="D67" s="1" t="s">
        <v>82</v>
      </c>
      <c r="E67" s="54">
        <v>45501.118611504629</v>
      </c>
      <c r="F67" s="54">
        <v>45501.140139282405</v>
      </c>
      <c r="G67" s="1">
        <v>31</v>
      </c>
      <c r="H67" s="1">
        <v>946</v>
      </c>
      <c r="I67" s="1">
        <v>14</v>
      </c>
      <c r="J67" s="1">
        <v>928</v>
      </c>
      <c r="K67" s="12">
        <f>(Table14[[#This Row],[Customers End]]-Table14[[#This Row],[New Customers Acquired]])/Table14[[#This Row],[Customers Start]]</f>
        <v>0.96617336152219868</v>
      </c>
      <c r="L67" s="1">
        <v>107</v>
      </c>
      <c r="M67" s="1">
        <v>75</v>
      </c>
      <c r="N67" s="30">
        <v>23.300970873786401</v>
      </c>
      <c r="O67" s="1">
        <v>90</v>
      </c>
      <c r="P67" s="1">
        <v>20</v>
      </c>
      <c r="Q67" s="1">
        <f>Table14[[#This Row],[Promoters]]-Table14[[#This Row],[Detractors]]</f>
        <v>70</v>
      </c>
    </row>
    <row r="68" spans="1:17" x14ac:dyDescent="0.3">
      <c r="A68" s="1" t="s">
        <v>83</v>
      </c>
      <c r="B68" s="1" t="s">
        <v>44</v>
      </c>
      <c r="C68" s="1" t="s">
        <v>89</v>
      </c>
      <c r="D68" s="1" t="s">
        <v>82</v>
      </c>
      <c r="E68" s="54">
        <v>45489.288055949073</v>
      </c>
      <c r="F68" s="54">
        <v>45489.340139282409</v>
      </c>
      <c r="G68" s="1">
        <v>75</v>
      </c>
      <c r="H68" s="1">
        <v>934</v>
      </c>
      <c r="I68" s="1">
        <v>42</v>
      </c>
      <c r="J68" s="1">
        <v>937</v>
      </c>
      <c r="K68" s="12">
        <f>(Table14[[#This Row],[Customers End]]-Table14[[#This Row],[New Customers Acquired]])/Table14[[#This Row],[Customers Start]]</f>
        <v>0.95824411134903642</v>
      </c>
      <c r="L68" s="1">
        <v>116</v>
      </c>
      <c r="M68" s="1">
        <v>15</v>
      </c>
      <c r="N68" s="30">
        <v>23.300970873786401</v>
      </c>
      <c r="O68" s="1">
        <v>68</v>
      </c>
      <c r="P68" s="1">
        <v>10</v>
      </c>
      <c r="Q68" s="1">
        <f>Table14[[#This Row],[Promoters]]-Table14[[#This Row],[Detractors]]</f>
        <v>58</v>
      </c>
    </row>
    <row r="69" spans="1:17" x14ac:dyDescent="0.3">
      <c r="A69" s="1" t="s">
        <v>83</v>
      </c>
      <c r="B69" s="1" t="s">
        <v>42</v>
      </c>
      <c r="C69" s="1" t="s">
        <v>90</v>
      </c>
      <c r="D69" s="1" t="s">
        <v>84</v>
      </c>
      <c r="E69" s="54">
        <v>45489.782500393521</v>
      </c>
      <c r="F69" s="54">
        <v>45489.863750393517</v>
      </c>
      <c r="G69" s="1">
        <v>117</v>
      </c>
      <c r="H69" s="1">
        <v>977</v>
      </c>
      <c r="I69" s="1">
        <v>28</v>
      </c>
      <c r="J69" s="1">
        <v>967</v>
      </c>
      <c r="K69" s="12">
        <f>(Table14[[#This Row],[Customers End]]-Table14[[#This Row],[New Customers Acquired]])/Table14[[#This Row],[Customers Start]]</f>
        <v>0.96110542476970318</v>
      </c>
      <c r="L69" s="1">
        <v>153</v>
      </c>
      <c r="M69" s="1">
        <v>84</v>
      </c>
      <c r="N69" s="30">
        <v>23.300970873786401</v>
      </c>
      <c r="O69" s="1">
        <v>61</v>
      </c>
      <c r="P69" s="1">
        <v>36</v>
      </c>
      <c r="Q69" s="1">
        <f>Table14[[#This Row],[Promoters]]-Table14[[#This Row],[Detractors]]</f>
        <v>25</v>
      </c>
    </row>
    <row r="70" spans="1:17" x14ac:dyDescent="0.3">
      <c r="A70" s="1" t="s">
        <v>86</v>
      </c>
      <c r="B70" s="1" t="s">
        <v>45</v>
      </c>
      <c r="C70" s="1" t="s">
        <v>90</v>
      </c>
      <c r="D70" s="1" t="s">
        <v>85</v>
      </c>
      <c r="E70" s="54">
        <v>45484.108889282405</v>
      </c>
      <c r="F70" s="54">
        <v>45484.174861504631</v>
      </c>
      <c r="G70" s="1">
        <v>95</v>
      </c>
      <c r="H70" s="1">
        <v>980</v>
      </c>
      <c r="I70" s="1">
        <v>35</v>
      </c>
      <c r="J70" s="1">
        <v>998</v>
      </c>
      <c r="K70" s="12">
        <f>(Table14[[#This Row],[Customers End]]-Table14[[#This Row],[New Customers Acquired]])/Table14[[#This Row],[Customers Start]]</f>
        <v>0.98265306122448981</v>
      </c>
      <c r="L70" s="1">
        <v>73</v>
      </c>
      <c r="M70" s="1">
        <v>38</v>
      </c>
      <c r="N70" s="30">
        <v>23.300970873786401</v>
      </c>
      <c r="O70" s="1">
        <v>58</v>
      </c>
      <c r="P70" s="1">
        <v>35</v>
      </c>
      <c r="Q70" s="1">
        <f>Table14[[#This Row],[Promoters]]-Table14[[#This Row],[Detractors]]</f>
        <v>23</v>
      </c>
    </row>
    <row r="71" spans="1:17" x14ac:dyDescent="0.3">
      <c r="A71" s="1" t="s">
        <v>83</v>
      </c>
      <c r="B71" s="1" t="s">
        <v>45</v>
      </c>
      <c r="C71" s="1" t="s">
        <v>88</v>
      </c>
      <c r="D71" s="1" t="s">
        <v>85</v>
      </c>
      <c r="E71" s="54">
        <v>45491.818611504626</v>
      </c>
      <c r="F71" s="54">
        <v>45491.869305949076</v>
      </c>
      <c r="G71" s="1">
        <v>73</v>
      </c>
      <c r="H71" s="1">
        <v>935</v>
      </c>
      <c r="I71" s="1">
        <v>12</v>
      </c>
      <c r="J71" s="1">
        <v>908</v>
      </c>
      <c r="K71" s="12">
        <f>(Table14[[#This Row],[Customers End]]-Table14[[#This Row],[New Customers Acquired]])/Table14[[#This Row],[Customers Start]]</f>
        <v>0.9582887700534759</v>
      </c>
      <c r="L71" s="1">
        <v>163</v>
      </c>
      <c r="M71" s="1">
        <v>99</v>
      </c>
      <c r="N71" s="30">
        <v>23.300970873786401</v>
      </c>
      <c r="O71" s="1">
        <v>56</v>
      </c>
      <c r="P71" s="1">
        <v>34</v>
      </c>
      <c r="Q71" s="1">
        <f>Table14[[#This Row],[Promoters]]-Table14[[#This Row],[Detractors]]</f>
        <v>22</v>
      </c>
    </row>
    <row r="72" spans="1:17" x14ac:dyDescent="0.3">
      <c r="A72" s="1" t="s">
        <v>87</v>
      </c>
      <c r="B72" s="1" t="s">
        <v>42</v>
      </c>
      <c r="C72" s="1" t="s">
        <v>89</v>
      </c>
      <c r="D72" s="1" t="s">
        <v>84</v>
      </c>
      <c r="E72" s="54">
        <v>45490.245000393516</v>
      </c>
      <c r="F72" s="54">
        <v>45490.306805949076</v>
      </c>
      <c r="G72" s="1">
        <v>89</v>
      </c>
      <c r="H72" s="1">
        <v>949</v>
      </c>
      <c r="I72" s="1">
        <v>31</v>
      </c>
      <c r="J72" s="1">
        <v>980</v>
      </c>
      <c r="K72" s="12">
        <f>(Table14[[#This Row],[Customers End]]-Table14[[#This Row],[New Customers Acquired]])/Table14[[#This Row],[Customers Start]]</f>
        <v>1</v>
      </c>
      <c r="L72" s="1">
        <v>81</v>
      </c>
      <c r="M72" s="1">
        <v>32</v>
      </c>
      <c r="N72" s="30">
        <v>23.300970873786401</v>
      </c>
      <c r="O72" s="1">
        <v>77</v>
      </c>
      <c r="P72" s="1">
        <v>18</v>
      </c>
      <c r="Q72" s="1">
        <f>Table14[[#This Row],[Promoters]]-Table14[[#This Row],[Detractors]]</f>
        <v>59</v>
      </c>
    </row>
    <row r="73" spans="1:17" x14ac:dyDescent="0.3">
      <c r="A73" s="1" t="s">
        <v>86</v>
      </c>
      <c r="B73" s="1" t="s">
        <v>45</v>
      </c>
      <c r="C73" s="1" t="s">
        <v>89</v>
      </c>
      <c r="D73" s="1" t="s">
        <v>85</v>
      </c>
      <c r="E73" s="54">
        <v>45475.399861504629</v>
      </c>
      <c r="F73" s="54">
        <v>45475.416528171299</v>
      </c>
      <c r="G73" s="1">
        <v>24</v>
      </c>
      <c r="H73" s="1">
        <v>903</v>
      </c>
      <c r="I73" s="1">
        <v>70</v>
      </c>
      <c r="J73" s="1">
        <v>963</v>
      </c>
      <c r="K73" s="12">
        <f>(Table14[[#This Row],[Customers End]]-Table14[[#This Row],[New Customers Acquired]])/Table14[[#This Row],[Customers Start]]</f>
        <v>0.98892580287929122</v>
      </c>
      <c r="L73" s="1">
        <v>135</v>
      </c>
      <c r="M73" s="1">
        <v>100</v>
      </c>
      <c r="N73" s="30">
        <v>23.300970873786401</v>
      </c>
      <c r="O73" s="1">
        <v>63</v>
      </c>
      <c r="P73" s="1">
        <v>19</v>
      </c>
      <c r="Q73" s="1">
        <f>Table14[[#This Row],[Promoters]]-Table14[[#This Row],[Detractors]]</f>
        <v>44</v>
      </c>
    </row>
    <row r="74" spans="1:17" x14ac:dyDescent="0.3">
      <c r="A74" s="1" t="s">
        <v>83</v>
      </c>
      <c r="B74" s="1" t="s">
        <v>42</v>
      </c>
      <c r="C74" s="1" t="s">
        <v>90</v>
      </c>
      <c r="D74" s="1" t="s">
        <v>82</v>
      </c>
      <c r="E74" s="54">
        <v>45474.828333726851</v>
      </c>
      <c r="F74" s="54">
        <v>45474.907500393521</v>
      </c>
      <c r="G74" s="1">
        <v>114</v>
      </c>
      <c r="H74" s="1">
        <v>901</v>
      </c>
      <c r="I74" s="1">
        <v>58</v>
      </c>
      <c r="J74" s="1">
        <v>932</v>
      </c>
      <c r="K74" s="12">
        <f>(Table14[[#This Row],[Customers End]]-Table14[[#This Row],[New Customers Acquired]])/Table14[[#This Row],[Customers Start]]</f>
        <v>0.97003329633740287</v>
      </c>
      <c r="L74" s="1">
        <v>176</v>
      </c>
      <c r="M74" s="1">
        <v>22</v>
      </c>
      <c r="N74" s="30">
        <v>23.300970873786401</v>
      </c>
      <c r="O74" s="1">
        <v>80</v>
      </c>
      <c r="P74" s="1">
        <v>17</v>
      </c>
      <c r="Q74" s="1">
        <f>Table14[[#This Row],[Promoters]]-Table14[[#This Row],[Detractors]]</f>
        <v>63</v>
      </c>
    </row>
    <row r="75" spans="1:17" x14ac:dyDescent="0.3">
      <c r="A75" s="1" t="s">
        <v>86</v>
      </c>
      <c r="B75" s="1" t="s">
        <v>45</v>
      </c>
      <c r="C75" s="1" t="s">
        <v>88</v>
      </c>
      <c r="D75" s="1" t="s">
        <v>82</v>
      </c>
      <c r="E75" s="54">
        <v>45471.425555949078</v>
      </c>
      <c r="F75" s="54">
        <v>45471.494305949076</v>
      </c>
      <c r="G75" s="1">
        <v>99</v>
      </c>
      <c r="H75" s="1">
        <v>905</v>
      </c>
      <c r="I75" s="1">
        <v>85</v>
      </c>
      <c r="J75" s="1">
        <v>966</v>
      </c>
      <c r="K75" s="12">
        <f>(Table14[[#This Row],[Customers End]]-Table14[[#This Row],[New Customers Acquired]])/Table14[[#This Row],[Customers Start]]</f>
        <v>0.97348066298342539</v>
      </c>
      <c r="L75" s="1">
        <v>179</v>
      </c>
      <c r="M75" s="1">
        <v>9</v>
      </c>
      <c r="N75" s="30">
        <v>23.300970873786401</v>
      </c>
      <c r="O75" s="1">
        <v>68</v>
      </c>
      <c r="P75" s="1">
        <v>46</v>
      </c>
      <c r="Q75" s="1">
        <f>Table14[[#This Row],[Promoters]]-Table14[[#This Row],[Detractors]]</f>
        <v>22</v>
      </c>
    </row>
    <row r="76" spans="1:17" x14ac:dyDescent="0.3">
      <c r="A76" s="1" t="s">
        <v>83</v>
      </c>
      <c r="B76" s="1" t="s">
        <v>49</v>
      </c>
      <c r="C76" s="1" t="s">
        <v>90</v>
      </c>
      <c r="D76" s="1" t="s">
        <v>82</v>
      </c>
      <c r="E76" s="54">
        <v>45472.942917060187</v>
      </c>
      <c r="F76" s="54">
        <v>45473.02208372685</v>
      </c>
      <c r="G76" s="1">
        <v>114</v>
      </c>
      <c r="H76" s="1">
        <v>953</v>
      </c>
      <c r="I76" s="1">
        <v>27</v>
      </c>
      <c r="J76" s="1">
        <v>931</v>
      </c>
      <c r="K76" s="12">
        <f>(Table14[[#This Row],[Customers End]]-Table14[[#This Row],[New Customers Acquired]])/Table14[[#This Row],[Customers Start]]</f>
        <v>0.94858342077649527</v>
      </c>
      <c r="L76" s="1">
        <v>66</v>
      </c>
      <c r="M76" s="1">
        <v>33</v>
      </c>
      <c r="N76" s="30">
        <v>23.300970873786401</v>
      </c>
      <c r="O76" s="1">
        <v>96</v>
      </c>
      <c r="P76" s="1">
        <v>40</v>
      </c>
      <c r="Q76" s="1">
        <f>Table14[[#This Row],[Promoters]]-Table14[[#This Row],[Detractors]]</f>
        <v>56</v>
      </c>
    </row>
    <row r="77" spans="1:17" x14ac:dyDescent="0.3">
      <c r="A77" s="1" t="s">
        <v>83</v>
      </c>
      <c r="B77" s="1" t="s">
        <v>49</v>
      </c>
      <c r="C77" s="1" t="s">
        <v>90</v>
      </c>
      <c r="D77" s="1" t="s">
        <v>85</v>
      </c>
      <c r="E77" s="54">
        <v>45482.695694837967</v>
      </c>
      <c r="F77" s="54">
        <v>45482.77208372685</v>
      </c>
      <c r="G77" s="1">
        <v>110</v>
      </c>
      <c r="H77" s="1">
        <v>903</v>
      </c>
      <c r="I77" s="1">
        <v>65</v>
      </c>
      <c r="J77" s="1">
        <v>946</v>
      </c>
      <c r="K77" s="12">
        <f>(Table14[[#This Row],[Customers End]]-Table14[[#This Row],[New Customers Acquired]])/Table14[[#This Row],[Customers Start]]</f>
        <v>0.97563676633444074</v>
      </c>
      <c r="L77" s="1">
        <v>153</v>
      </c>
      <c r="M77" s="1">
        <v>137</v>
      </c>
      <c r="N77" s="30">
        <v>23.300970873786401</v>
      </c>
      <c r="O77" s="1">
        <v>65</v>
      </c>
      <c r="P77" s="1">
        <v>48</v>
      </c>
      <c r="Q77" s="1">
        <f>Table14[[#This Row],[Promoters]]-Table14[[#This Row],[Detractors]]</f>
        <v>17</v>
      </c>
    </row>
    <row r="78" spans="1:17" x14ac:dyDescent="0.3">
      <c r="A78" s="1" t="s">
        <v>83</v>
      </c>
      <c r="B78" s="1" t="s">
        <v>44</v>
      </c>
      <c r="C78" s="1" t="s">
        <v>90</v>
      </c>
      <c r="D78" s="1" t="s">
        <v>82</v>
      </c>
      <c r="E78" s="54">
        <v>45482.620000393516</v>
      </c>
      <c r="F78" s="54">
        <v>45482.665833726853</v>
      </c>
      <c r="G78" s="1">
        <v>66</v>
      </c>
      <c r="H78" s="1">
        <v>953</v>
      </c>
      <c r="I78" s="1">
        <v>41</v>
      </c>
      <c r="J78" s="1">
        <v>964</v>
      </c>
      <c r="K78" s="12">
        <f>(Table14[[#This Row],[Customers End]]-Table14[[#This Row],[New Customers Acquired]])/Table14[[#This Row],[Customers Start]]</f>
        <v>0.96852046169989503</v>
      </c>
      <c r="L78" s="1">
        <v>186</v>
      </c>
      <c r="M78" s="1">
        <v>146</v>
      </c>
      <c r="N78" s="30">
        <v>23.300970873786401</v>
      </c>
      <c r="O78" s="1">
        <v>54</v>
      </c>
      <c r="P78" s="1">
        <v>13</v>
      </c>
      <c r="Q78" s="1">
        <f>Table14[[#This Row],[Promoters]]-Table14[[#This Row],[Detractors]]</f>
        <v>41</v>
      </c>
    </row>
    <row r="79" spans="1:17" x14ac:dyDescent="0.3">
      <c r="A79" s="1" t="s">
        <v>87</v>
      </c>
      <c r="B79" s="1" t="s">
        <v>49</v>
      </c>
      <c r="C79" s="1" t="s">
        <v>90</v>
      </c>
      <c r="D79" s="1" t="s">
        <v>84</v>
      </c>
      <c r="E79" s="54">
        <v>45492.877639282407</v>
      </c>
      <c r="F79" s="54">
        <v>45492.947083726853</v>
      </c>
      <c r="G79" s="1">
        <v>100</v>
      </c>
      <c r="H79" s="1">
        <v>992</v>
      </c>
      <c r="I79" s="1">
        <v>44</v>
      </c>
      <c r="J79" s="1">
        <v>1007</v>
      </c>
      <c r="K79" s="12">
        <f>(Table14[[#This Row],[Customers End]]-Table14[[#This Row],[New Customers Acquired]])/Table14[[#This Row],[Customers Start]]</f>
        <v>0.97076612903225812</v>
      </c>
      <c r="L79" s="1">
        <v>92</v>
      </c>
      <c r="M79" s="1">
        <v>57</v>
      </c>
      <c r="N79" s="30">
        <v>23.300970873786401</v>
      </c>
      <c r="O79" s="1">
        <v>84</v>
      </c>
      <c r="P79" s="1">
        <v>14</v>
      </c>
      <c r="Q79" s="1">
        <f>Table14[[#This Row],[Promoters]]-Table14[[#This Row],[Detractors]]</f>
        <v>70</v>
      </c>
    </row>
    <row r="80" spans="1:17" x14ac:dyDescent="0.3">
      <c r="A80" s="1" t="s">
        <v>87</v>
      </c>
      <c r="B80" s="1" t="s">
        <v>49</v>
      </c>
      <c r="C80" s="1" t="s">
        <v>89</v>
      </c>
      <c r="D80" s="1" t="s">
        <v>84</v>
      </c>
      <c r="E80" s="54">
        <v>45473.199861504632</v>
      </c>
      <c r="F80" s="54">
        <v>45473.24013928241</v>
      </c>
      <c r="G80" s="1">
        <v>58</v>
      </c>
      <c r="H80" s="1">
        <v>962</v>
      </c>
      <c r="I80" s="1">
        <v>61</v>
      </c>
      <c r="J80" s="1">
        <v>982</v>
      </c>
      <c r="K80" s="12">
        <f>(Table14[[#This Row],[Customers End]]-Table14[[#This Row],[New Customers Acquired]])/Table14[[#This Row],[Customers Start]]</f>
        <v>0.95738045738045741</v>
      </c>
      <c r="L80" s="1">
        <v>88</v>
      </c>
      <c r="M80" s="1">
        <v>0</v>
      </c>
      <c r="N80" s="30">
        <v>23.300970873786401</v>
      </c>
      <c r="O80" s="1">
        <v>61</v>
      </c>
      <c r="P80" s="1">
        <v>30</v>
      </c>
      <c r="Q80" s="1">
        <f>Table14[[#This Row],[Promoters]]-Table14[[#This Row],[Detractors]]</f>
        <v>31</v>
      </c>
    </row>
    <row r="81" spans="1:17" x14ac:dyDescent="0.3">
      <c r="A81" s="1" t="s">
        <v>86</v>
      </c>
      <c r="B81" s="1" t="s">
        <v>49</v>
      </c>
      <c r="C81" s="1" t="s">
        <v>89</v>
      </c>
      <c r="D81" s="1" t="s">
        <v>85</v>
      </c>
      <c r="E81" s="54">
        <v>45481.431111504629</v>
      </c>
      <c r="F81" s="54">
        <v>45481.438055949075</v>
      </c>
      <c r="G81" s="1">
        <v>10</v>
      </c>
      <c r="H81" s="1">
        <v>917</v>
      </c>
      <c r="I81" s="1">
        <v>56</v>
      </c>
      <c r="J81" s="1">
        <v>939</v>
      </c>
      <c r="K81" s="12">
        <f>(Table14[[#This Row],[Customers End]]-Table14[[#This Row],[New Customers Acquired]])/Table14[[#This Row],[Customers Start]]</f>
        <v>0.96292257360959654</v>
      </c>
      <c r="L81" s="1">
        <v>75</v>
      </c>
      <c r="M81" s="1">
        <v>68</v>
      </c>
      <c r="N81" s="30">
        <v>23.300970873786401</v>
      </c>
      <c r="O81" s="1">
        <v>74</v>
      </c>
      <c r="P81" s="1">
        <v>0</v>
      </c>
      <c r="Q81" s="1">
        <f>Table14[[#This Row],[Promoters]]-Table14[[#This Row],[Detractors]]</f>
        <v>74</v>
      </c>
    </row>
    <row r="82" spans="1:17" x14ac:dyDescent="0.3">
      <c r="A82" s="1" t="s">
        <v>83</v>
      </c>
      <c r="B82" s="1" t="s">
        <v>42</v>
      </c>
      <c r="C82" s="1" t="s">
        <v>90</v>
      </c>
      <c r="D82" s="1" t="s">
        <v>84</v>
      </c>
      <c r="E82" s="54">
        <v>45475.987361504631</v>
      </c>
      <c r="F82" s="54">
        <v>45476.055417060183</v>
      </c>
      <c r="G82" s="1">
        <v>98</v>
      </c>
      <c r="H82" s="1">
        <v>989</v>
      </c>
      <c r="I82" s="1">
        <v>5</v>
      </c>
      <c r="J82" s="1">
        <v>988</v>
      </c>
      <c r="K82" s="12">
        <f>(Table14[[#This Row],[Customers End]]-Table14[[#This Row],[New Customers Acquired]])/Table14[[#This Row],[Customers Start]]</f>
        <v>0.99393326592517695</v>
      </c>
      <c r="L82" s="1">
        <v>148</v>
      </c>
      <c r="M82" s="1">
        <v>3</v>
      </c>
      <c r="N82" s="30">
        <v>23.300970873786401</v>
      </c>
      <c r="O82" s="1">
        <v>70</v>
      </c>
      <c r="P82" s="1">
        <v>2</v>
      </c>
      <c r="Q82" s="1">
        <f>Table14[[#This Row],[Promoters]]-Table14[[#This Row],[Detractors]]</f>
        <v>68</v>
      </c>
    </row>
    <row r="83" spans="1:17" x14ac:dyDescent="0.3">
      <c r="A83" s="1" t="s">
        <v>83</v>
      </c>
      <c r="B83" s="1" t="s">
        <v>49</v>
      </c>
      <c r="C83" s="1" t="s">
        <v>88</v>
      </c>
      <c r="D83" s="1" t="s">
        <v>84</v>
      </c>
      <c r="E83" s="54">
        <v>45482.992917060183</v>
      </c>
      <c r="F83" s="54">
        <v>45483.033889282407</v>
      </c>
      <c r="G83" s="1">
        <v>59</v>
      </c>
      <c r="H83" s="1">
        <v>943</v>
      </c>
      <c r="I83" s="1">
        <v>27</v>
      </c>
      <c r="J83" s="1">
        <v>955</v>
      </c>
      <c r="K83" s="12">
        <f>(Table14[[#This Row],[Customers End]]-Table14[[#This Row],[New Customers Acquired]])/Table14[[#This Row],[Customers Start]]</f>
        <v>0.98409331919406151</v>
      </c>
      <c r="L83" s="1">
        <v>99</v>
      </c>
      <c r="M83" s="1">
        <v>15</v>
      </c>
      <c r="N83" s="30">
        <v>23.300970873786401</v>
      </c>
      <c r="O83" s="1">
        <v>85</v>
      </c>
      <c r="P83" s="1">
        <v>15</v>
      </c>
      <c r="Q83" s="1">
        <f>Table14[[#This Row],[Promoters]]-Table14[[#This Row],[Detractors]]</f>
        <v>70</v>
      </c>
    </row>
    <row r="84" spans="1:17" x14ac:dyDescent="0.3">
      <c r="A84" s="1" t="s">
        <v>87</v>
      </c>
      <c r="B84" s="1" t="s">
        <v>49</v>
      </c>
      <c r="C84" s="1" t="s">
        <v>88</v>
      </c>
      <c r="D84" s="1" t="s">
        <v>85</v>
      </c>
      <c r="E84" s="54">
        <v>45483.748472615742</v>
      </c>
      <c r="F84" s="54">
        <v>45483.766528171298</v>
      </c>
      <c r="G84" s="1">
        <v>26</v>
      </c>
      <c r="H84" s="1">
        <v>933</v>
      </c>
      <c r="I84" s="1">
        <v>27</v>
      </c>
      <c r="J84" s="1">
        <v>935</v>
      </c>
      <c r="K84" s="12">
        <f>(Table14[[#This Row],[Customers End]]-Table14[[#This Row],[New Customers Acquired]])/Table14[[#This Row],[Customers Start]]</f>
        <v>0.97320471596998925</v>
      </c>
      <c r="L84" s="1">
        <v>62</v>
      </c>
      <c r="M84" s="1">
        <v>23</v>
      </c>
      <c r="N84" s="30">
        <v>23.300970873786401</v>
      </c>
      <c r="O84" s="1">
        <v>72</v>
      </c>
      <c r="P84" s="1">
        <v>22</v>
      </c>
      <c r="Q84" s="1">
        <f>Table14[[#This Row],[Promoters]]-Table14[[#This Row],[Detractors]]</f>
        <v>50</v>
      </c>
    </row>
    <row r="85" spans="1:17" x14ac:dyDescent="0.3">
      <c r="A85" s="1" t="s">
        <v>83</v>
      </c>
      <c r="B85" s="1" t="s">
        <v>44</v>
      </c>
      <c r="C85" s="1" t="s">
        <v>88</v>
      </c>
      <c r="D85" s="1" t="s">
        <v>82</v>
      </c>
      <c r="E85" s="54">
        <v>45476.593611504628</v>
      </c>
      <c r="F85" s="54">
        <v>45476.620000393516</v>
      </c>
      <c r="G85" s="1">
        <v>38</v>
      </c>
      <c r="H85" s="1">
        <v>973</v>
      </c>
      <c r="I85" s="1">
        <v>43</v>
      </c>
      <c r="J85" s="1">
        <v>969</v>
      </c>
      <c r="K85" s="12">
        <f>(Table14[[#This Row],[Customers End]]-Table14[[#This Row],[New Customers Acquired]])/Table14[[#This Row],[Customers Start]]</f>
        <v>0.95169578622816031</v>
      </c>
      <c r="L85" s="1">
        <v>109</v>
      </c>
      <c r="M85" s="1">
        <v>79</v>
      </c>
      <c r="N85" s="30">
        <v>23.300970873786401</v>
      </c>
      <c r="O85" s="1">
        <v>65</v>
      </c>
      <c r="P85" s="1">
        <v>10</v>
      </c>
      <c r="Q85" s="1">
        <f>Table14[[#This Row],[Promoters]]-Table14[[#This Row],[Detractors]]</f>
        <v>55</v>
      </c>
    </row>
    <row r="86" spans="1:17" x14ac:dyDescent="0.3">
      <c r="A86" s="1" t="s">
        <v>87</v>
      </c>
      <c r="B86" s="1" t="s">
        <v>49</v>
      </c>
      <c r="C86" s="1" t="s">
        <v>88</v>
      </c>
      <c r="D86" s="1" t="s">
        <v>82</v>
      </c>
      <c r="E86" s="54">
        <v>45498.665139282406</v>
      </c>
      <c r="F86" s="54">
        <v>45498.672083726851</v>
      </c>
      <c r="G86" s="1">
        <v>10</v>
      </c>
      <c r="H86" s="1">
        <v>961</v>
      </c>
      <c r="I86" s="1">
        <v>83</v>
      </c>
      <c r="J86" s="1">
        <v>996</v>
      </c>
      <c r="K86" s="12">
        <f>(Table14[[#This Row],[Customers End]]-Table14[[#This Row],[New Customers Acquired]])/Table14[[#This Row],[Customers Start]]</f>
        <v>0.95005202913631637</v>
      </c>
      <c r="L86" s="1">
        <v>184</v>
      </c>
      <c r="M86" s="1">
        <v>1</v>
      </c>
      <c r="N86" s="30">
        <v>23.300970873786401</v>
      </c>
      <c r="O86" s="1">
        <v>88</v>
      </c>
      <c r="P86" s="1">
        <v>11</v>
      </c>
      <c r="Q86" s="1">
        <f>Table14[[#This Row],[Promoters]]-Table14[[#This Row],[Detractors]]</f>
        <v>77</v>
      </c>
    </row>
    <row r="87" spans="1:17" x14ac:dyDescent="0.3">
      <c r="A87" s="1" t="s">
        <v>83</v>
      </c>
      <c r="B87" s="1" t="s">
        <v>49</v>
      </c>
      <c r="C87" s="1" t="s">
        <v>90</v>
      </c>
      <c r="D87" s="1" t="s">
        <v>82</v>
      </c>
      <c r="E87" s="54">
        <v>45489.436667060188</v>
      </c>
      <c r="F87" s="54">
        <v>45489.494305949076</v>
      </c>
      <c r="G87" s="1">
        <v>83</v>
      </c>
      <c r="H87" s="1">
        <v>999</v>
      </c>
      <c r="I87" s="1">
        <v>29</v>
      </c>
      <c r="J87" s="1">
        <v>1027</v>
      </c>
      <c r="K87" s="12">
        <f>(Table14[[#This Row],[Customers End]]-Table14[[#This Row],[New Customers Acquired]])/Table14[[#This Row],[Customers Start]]</f>
        <v>0.99899899899899902</v>
      </c>
      <c r="L87" s="1">
        <v>106</v>
      </c>
      <c r="M87" s="1">
        <v>91</v>
      </c>
      <c r="N87" s="30">
        <v>23.300970873786401</v>
      </c>
      <c r="O87" s="1">
        <v>94</v>
      </c>
      <c r="P87" s="1">
        <v>9</v>
      </c>
      <c r="Q87" s="1">
        <f>Table14[[#This Row],[Promoters]]-Table14[[#This Row],[Detractors]]</f>
        <v>85</v>
      </c>
    </row>
    <row r="88" spans="1:17" x14ac:dyDescent="0.3">
      <c r="A88" s="1" t="s">
        <v>86</v>
      </c>
      <c r="B88" s="1" t="s">
        <v>45</v>
      </c>
      <c r="C88" s="1" t="s">
        <v>89</v>
      </c>
      <c r="D88" s="1" t="s">
        <v>85</v>
      </c>
      <c r="E88" s="54">
        <v>45486.273472615743</v>
      </c>
      <c r="F88" s="54">
        <v>45486.332500393517</v>
      </c>
      <c r="G88" s="1">
        <v>85</v>
      </c>
      <c r="H88" s="1">
        <v>913</v>
      </c>
      <c r="I88" s="1">
        <v>61</v>
      </c>
      <c r="J88" s="1">
        <v>974</v>
      </c>
      <c r="K88" s="12">
        <f>(Table14[[#This Row],[Customers End]]-Table14[[#This Row],[New Customers Acquired]])/Table14[[#This Row],[Customers Start]]</f>
        <v>1</v>
      </c>
      <c r="L88" s="1">
        <v>85</v>
      </c>
      <c r="M88" s="1">
        <v>31</v>
      </c>
      <c r="N88" s="30">
        <v>23.300970873786401</v>
      </c>
      <c r="O88" s="1">
        <v>91</v>
      </c>
      <c r="P88" s="1">
        <v>31</v>
      </c>
      <c r="Q88" s="1">
        <f>Table14[[#This Row],[Promoters]]-Table14[[#This Row],[Detractors]]</f>
        <v>60</v>
      </c>
    </row>
    <row r="89" spans="1:17" x14ac:dyDescent="0.3">
      <c r="A89" s="1" t="s">
        <v>83</v>
      </c>
      <c r="B89" s="1" t="s">
        <v>44</v>
      </c>
      <c r="C89" s="1" t="s">
        <v>88</v>
      </c>
      <c r="D89" s="1" t="s">
        <v>84</v>
      </c>
      <c r="E89" s="54">
        <v>45488.536667060187</v>
      </c>
      <c r="F89" s="54">
        <v>45488.547083726851</v>
      </c>
      <c r="G89" s="1">
        <v>15</v>
      </c>
      <c r="H89" s="1">
        <v>994</v>
      </c>
      <c r="I89" s="1">
        <v>74</v>
      </c>
      <c r="J89" s="1">
        <v>1021</v>
      </c>
      <c r="K89" s="12">
        <f>(Table14[[#This Row],[Customers End]]-Table14[[#This Row],[New Customers Acquired]])/Table14[[#This Row],[Customers Start]]</f>
        <v>0.95271629778672029</v>
      </c>
      <c r="L89" s="1">
        <v>69</v>
      </c>
      <c r="M89" s="1">
        <v>23</v>
      </c>
      <c r="N89" s="30">
        <v>23.300970873786401</v>
      </c>
      <c r="O89" s="1">
        <v>88</v>
      </c>
      <c r="P89" s="1">
        <v>15</v>
      </c>
      <c r="Q89" s="1">
        <f>Table14[[#This Row],[Promoters]]-Table14[[#This Row],[Detractors]]</f>
        <v>73</v>
      </c>
    </row>
    <row r="90" spans="1:17" x14ac:dyDescent="0.3">
      <c r="A90" s="1" t="s">
        <v>83</v>
      </c>
      <c r="B90" s="1" t="s">
        <v>44</v>
      </c>
      <c r="C90" s="1" t="s">
        <v>90</v>
      </c>
      <c r="D90" s="1" t="s">
        <v>82</v>
      </c>
      <c r="E90" s="54">
        <v>45484.671389282405</v>
      </c>
      <c r="F90" s="54">
        <v>45484.695694837967</v>
      </c>
      <c r="G90" s="1">
        <v>35</v>
      </c>
      <c r="H90" s="1">
        <v>947</v>
      </c>
      <c r="I90" s="1">
        <v>91</v>
      </c>
      <c r="J90" s="1">
        <v>1027</v>
      </c>
      <c r="K90" s="12">
        <f>(Table14[[#This Row],[Customers End]]-Table14[[#This Row],[New Customers Acquired]])/Table14[[#This Row],[Customers Start]]</f>
        <v>0.98838437170010562</v>
      </c>
      <c r="L90" s="1">
        <v>114</v>
      </c>
      <c r="M90" s="1">
        <v>11</v>
      </c>
      <c r="N90" s="30">
        <v>23.300970873786401</v>
      </c>
      <c r="O90" s="1">
        <v>63</v>
      </c>
      <c r="P90" s="1">
        <v>7</v>
      </c>
      <c r="Q90" s="1">
        <f>Table14[[#This Row],[Promoters]]-Table14[[#This Row],[Detractors]]</f>
        <v>56</v>
      </c>
    </row>
    <row r="91" spans="1:17" x14ac:dyDescent="0.3">
      <c r="A91" s="1" t="s">
        <v>81</v>
      </c>
      <c r="B91" s="1" t="s">
        <v>44</v>
      </c>
      <c r="C91" s="1" t="s">
        <v>88</v>
      </c>
      <c r="D91" s="1" t="s">
        <v>82</v>
      </c>
      <c r="E91" s="54">
        <v>45484.894305949078</v>
      </c>
      <c r="F91" s="54">
        <v>45484.923472615737</v>
      </c>
      <c r="G91" s="1">
        <v>42</v>
      </c>
      <c r="H91" s="1">
        <v>914</v>
      </c>
      <c r="I91" s="1">
        <v>88</v>
      </c>
      <c r="J91" s="1">
        <v>998</v>
      </c>
      <c r="K91" s="12">
        <f>(Table14[[#This Row],[Customers End]]-Table14[[#This Row],[New Customers Acquired]])/Table14[[#This Row],[Customers Start]]</f>
        <v>0.99562363238512031</v>
      </c>
      <c r="L91" s="1">
        <v>57</v>
      </c>
      <c r="M91" s="1">
        <v>49</v>
      </c>
      <c r="N91" s="30">
        <v>23.300970873786401</v>
      </c>
      <c r="O91" s="1">
        <v>80</v>
      </c>
      <c r="P91" s="1">
        <v>37</v>
      </c>
      <c r="Q91" s="1">
        <f>Table14[[#This Row],[Promoters]]-Table14[[#This Row],[Detractors]]</f>
        <v>43</v>
      </c>
    </row>
    <row r="92" spans="1:17" x14ac:dyDescent="0.3">
      <c r="A92" s="1" t="s">
        <v>87</v>
      </c>
      <c r="B92" s="1" t="s">
        <v>44</v>
      </c>
      <c r="C92" s="1" t="s">
        <v>88</v>
      </c>
      <c r="D92" s="1" t="s">
        <v>85</v>
      </c>
      <c r="E92" s="54">
        <v>45478.449861504632</v>
      </c>
      <c r="F92" s="54">
        <v>45478.520000393517</v>
      </c>
      <c r="G92" s="1">
        <v>101</v>
      </c>
      <c r="H92" s="1">
        <v>971</v>
      </c>
      <c r="I92" s="1">
        <v>61</v>
      </c>
      <c r="J92" s="1">
        <v>996</v>
      </c>
      <c r="K92" s="12">
        <f>(Table14[[#This Row],[Customers End]]-Table14[[#This Row],[New Customers Acquired]])/Table14[[#This Row],[Customers Start]]</f>
        <v>0.96292481977342947</v>
      </c>
      <c r="L92" s="1">
        <v>193</v>
      </c>
      <c r="M92" s="1">
        <v>162</v>
      </c>
      <c r="N92" s="30">
        <v>23.300970873786401</v>
      </c>
      <c r="O92" s="1">
        <v>54</v>
      </c>
      <c r="P92" s="1">
        <v>11</v>
      </c>
      <c r="Q92" s="1">
        <f>Table14[[#This Row],[Promoters]]-Table14[[#This Row],[Detractors]]</f>
        <v>43</v>
      </c>
    </row>
    <row r="93" spans="1:17" x14ac:dyDescent="0.3">
      <c r="A93" s="1" t="s">
        <v>83</v>
      </c>
      <c r="B93" s="1" t="s">
        <v>44</v>
      </c>
      <c r="C93" s="1" t="s">
        <v>90</v>
      </c>
      <c r="D93" s="1" t="s">
        <v>82</v>
      </c>
      <c r="E93" s="54">
        <v>45499.815139282407</v>
      </c>
      <c r="F93" s="54">
        <v>45499.891528171298</v>
      </c>
      <c r="G93" s="1">
        <v>110</v>
      </c>
      <c r="H93" s="1">
        <v>977</v>
      </c>
      <c r="I93" s="1">
        <v>96</v>
      </c>
      <c r="J93" s="1">
        <v>1042</v>
      </c>
      <c r="K93" s="12">
        <f>(Table14[[#This Row],[Customers End]]-Table14[[#This Row],[New Customers Acquired]])/Table14[[#This Row],[Customers Start]]</f>
        <v>0.96827021494370524</v>
      </c>
      <c r="L93" s="1">
        <v>191</v>
      </c>
      <c r="M93" s="1">
        <v>123</v>
      </c>
      <c r="N93" s="30">
        <v>23.300970873786401</v>
      </c>
      <c r="O93" s="1">
        <v>84</v>
      </c>
      <c r="P93" s="1">
        <v>23</v>
      </c>
      <c r="Q93" s="1">
        <f>Table14[[#This Row],[Promoters]]-Table14[[#This Row],[Detractors]]</f>
        <v>61</v>
      </c>
    </row>
    <row r="94" spans="1:17" x14ac:dyDescent="0.3">
      <c r="A94" s="1" t="s">
        <v>83</v>
      </c>
      <c r="B94" s="1" t="s">
        <v>44</v>
      </c>
      <c r="C94" s="1" t="s">
        <v>89</v>
      </c>
      <c r="D94" s="1" t="s">
        <v>85</v>
      </c>
      <c r="E94" s="54">
        <v>45487.497083726848</v>
      </c>
      <c r="F94" s="54">
        <v>45487.566528171294</v>
      </c>
      <c r="G94" s="1">
        <v>100</v>
      </c>
      <c r="H94" s="1">
        <v>986</v>
      </c>
      <c r="I94" s="1">
        <v>0</v>
      </c>
      <c r="J94" s="1">
        <v>978</v>
      </c>
      <c r="K94" s="12">
        <f>(Table14[[#This Row],[Customers End]]-Table14[[#This Row],[New Customers Acquired]])/Table14[[#This Row],[Customers Start]]</f>
        <v>0.99188640973630826</v>
      </c>
      <c r="L94" s="1">
        <v>164</v>
      </c>
      <c r="M94" s="1">
        <v>32</v>
      </c>
      <c r="N94" s="30">
        <v>23.300970873786401</v>
      </c>
      <c r="O94" s="1">
        <v>72</v>
      </c>
      <c r="P94" s="1">
        <v>27</v>
      </c>
      <c r="Q94" s="1">
        <f>Table14[[#This Row],[Promoters]]-Table14[[#This Row],[Detractors]]</f>
        <v>45</v>
      </c>
    </row>
    <row r="95" spans="1:17" x14ac:dyDescent="0.3">
      <c r="A95" s="1" t="s">
        <v>81</v>
      </c>
      <c r="B95" s="1" t="s">
        <v>42</v>
      </c>
      <c r="C95" s="1" t="s">
        <v>89</v>
      </c>
      <c r="D95" s="1" t="s">
        <v>84</v>
      </c>
      <c r="E95" s="54">
        <v>45474.122083726848</v>
      </c>
      <c r="F95" s="54">
        <v>45474.151944837962</v>
      </c>
      <c r="G95" s="1">
        <v>43</v>
      </c>
      <c r="H95" s="1">
        <v>961</v>
      </c>
      <c r="I95" s="1">
        <v>26</v>
      </c>
      <c r="J95" s="1">
        <v>947</v>
      </c>
      <c r="K95" s="12">
        <f>(Table14[[#This Row],[Customers End]]-Table14[[#This Row],[New Customers Acquired]])/Table14[[#This Row],[Customers Start]]</f>
        <v>0.95837669094693023</v>
      </c>
      <c r="L95" s="1">
        <v>192</v>
      </c>
      <c r="M95" s="1">
        <v>160</v>
      </c>
      <c r="N95" s="30">
        <v>23.300970873786401</v>
      </c>
      <c r="O95" s="1">
        <v>78</v>
      </c>
      <c r="P95" s="1">
        <v>7</v>
      </c>
      <c r="Q95" s="1">
        <f>Table14[[#This Row],[Promoters]]-Table14[[#This Row],[Detractors]]</f>
        <v>71</v>
      </c>
    </row>
    <row r="96" spans="1:17" x14ac:dyDescent="0.3">
      <c r="A96" s="1" t="s">
        <v>81</v>
      </c>
      <c r="B96" s="1" t="s">
        <v>49</v>
      </c>
      <c r="C96" s="1" t="s">
        <v>90</v>
      </c>
      <c r="D96" s="1" t="s">
        <v>85</v>
      </c>
      <c r="E96" s="54">
        <v>45471.931111504629</v>
      </c>
      <c r="F96" s="54">
        <v>45471.965833726848</v>
      </c>
      <c r="G96" s="1">
        <v>50</v>
      </c>
      <c r="H96" s="1">
        <v>939</v>
      </c>
      <c r="I96" s="1">
        <v>61</v>
      </c>
      <c r="J96" s="1">
        <v>966</v>
      </c>
      <c r="K96" s="12">
        <f>(Table14[[#This Row],[Customers End]]-Table14[[#This Row],[New Customers Acquired]])/Table14[[#This Row],[Customers Start]]</f>
        <v>0.96379126730564435</v>
      </c>
      <c r="L96" s="1">
        <v>141</v>
      </c>
      <c r="M96" s="1">
        <v>100</v>
      </c>
      <c r="N96" s="30">
        <v>23.300970873786401</v>
      </c>
      <c r="O96" s="1">
        <v>92</v>
      </c>
      <c r="P96" s="1">
        <v>27</v>
      </c>
      <c r="Q96" s="1">
        <f>Table14[[#This Row],[Promoters]]-Table14[[#This Row],[Detractors]]</f>
        <v>65</v>
      </c>
    </row>
    <row r="97" spans="1:17" x14ac:dyDescent="0.3">
      <c r="A97" s="1" t="s">
        <v>87</v>
      </c>
      <c r="B97" s="1" t="s">
        <v>44</v>
      </c>
      <c r="C97" s="1" t="s">
        <v>89</v>
      </c>
      <c r="D97" s="1" t="s">
        <v>85</v>
      </c>
      <c r="E97" s="54">
        <v>45499.597083726854</v>
      </c>
      <c r="F97" s="54">
        <v>45499.609583726851</v>
      </c>
      <c r="G97" s="1">
        <v>18</v>
      </c>
      <c r="H97" s="1">
        <v>984</v>
      </c>
      <c r="I97" s="1">
        <v>76</v>
      </c>
      <c r="J97" s="1">
        <v>1042</v>
      </c>
      <c r="K97" s="12">
        <f>(Table14[[#This Row],[Customers End]]-Table14[[#This Row],[New Customers Acquired]])/Table14[[#This Row],[Customers Start]]</f>
        <v>0.98170731707317072</v>
      </c>
      <c r="L97" s="1">
        <v>147</v>
      </c>
      <c r="M97" s="1">
        <v>11</v>
      </c>
      <c r="N97" s="30">
        <v>23.300970873786401</v>
      </c>
      <c r="O97" s="1">
        <v>60</v>
      </c>
      <c r="P97" s="1">
        <v>35</v>
      </c>
      <c r="Q97" s="1">
        <f>Table14[[#This Row],[Promoters]]-Table14[[#This Row],[Detractors]]</f>
        <v>25</v>
      </c>
    </row>
    <row r="98" spans="1:17" x14ac:dyDescent="0.3">
      <c r="A98" s="1" t="s">
        <v>81</v>
      </c>
      <c r="B98" s="1" t="s">
        <v>49</v>
      </c>
      <c r="C98" s="1" t="s">
        <v>90</v>
      </c>
      <c r="D98" s="1" t="s">
        <v>85</v>
      </c>
      <c r="E98" s="54">
        <v>45471.174167060184</v>
      </c>
      <c r="F98" s="54">
        <v>45471.241528171297</v>
      </c>
      <c r="G98" s="1">
        <v>97</v>
      </c>
      <c r="H98" s="1">
        <v>979</v>
      </c>
      <c r="I98" s="1">
        <v>2</v>
      </c>
      <c r="J98" s="1">
        <v>934</v>
      </c>
      <c r="K98" s="12">
        <f>(Table14[[#This Row],[Customers End]]-Table14[[#This Row],[New Customers Acquired]])/Table14[[#This Row],[Customers Start]]</f>
        <v>0.95199182839632279</v>
      </c>
      <c r="L98" s="1">
        <v>115</v>
      </c>
      <c r="M98" s="1">
        <v>66</v>
      </c>
      <c r="N98" s="30">
        <v>23.300970873786401</v>
      </c>
      <c r="O98" s="1">
        <v>67</v>
      </c>
      <c r="P98" s="1">
        <v>25</v>
      </c>
      <c r="Q98" s="1">
        <f>Table14[[#This Row],[Promoters]]-Table14[[#This Row],[Detractors]]</f>
        <v>42</v>
      </c>
    </row>
    <row r="99" spans="1:17" x14ac:dyDescent="0.3">
      <c r="A99" s="1" t="s">
        <v>86</v>
      </c>
      <c r="B99" s="1" t="s">
        <v>49</v>
      </c>
      <c r="C99" s="1" t="s">
        <v>90</v>
      </c>
      <c r="D99" s="1" t="s">
        <v>85</v>
      </c>
      <c r="E99" s="54">
        <v>45488.166528171299</v>
      </c>
      <c r="F99" s="54">
        <v>45488.217222615742</v>
      </c>
      <c r="G99" s="1">
        <v>73</v>
      </c>
      <c r="H99" s="1">
        <v>981</v>
      </c>
      <c r="I99" s="1">
        <v>69</v>
      </c>
      <c r="J99" s="1">
        <v>1035</v>
      </c>
      <c r="K99" s="12">
        <f>(Table14[[#This Row],[Customers End]]-Table14[[#This Row],[New Customers Acquired]])/Table14[[#This Row],[Customers Start]]</f>
        <v>0.98470948012232418</v>
      </c>
      <c r="L99" s="1">
        <v>81</v>
      </c>
      <c r="M99" s="1">
        <v>64</v>
      </c>
      <c r="N99" s="30">
        <v>23.300970873786401</v>
      </c>
      <c r="O99" s="1">
        <v>96</v>
      </c>
      <c r="P99" s="1">
        <v>7</v>
      </c>
      <c r="Q99" s="1">
        <f>Table14[[#This Row],[Promoters]]-Table14[[#This Row],[Detractors]]</f>
        <v>89</v>
      </c>
    </row>
    <row r="100" spans="1:17" x14ac:dyDescent="0.3">
      <c r="A100" s="1" t="s">
        <v>81</v>
      </c>
      <c r="B100" s="1" t="s">
        <v>42</v>
      </c>
      <c r="C100" s="1" t="s">
        <v>90</v>
      </c>
      <c r="D100" s="1" t="s">
        <v>84</v>
      </c>
      <c r="E100" s="54">
        <v>45477.965139282409</v>
      </c>
      <c r="F100" s="54">
        <v>45478.031805949075</v>
      </c>
      <c r="G100" s="1">
        <v>96</v>
      </c>
      <c r="H100" s="1">
        <v>952</v>
      </c>
      <c r="I100" s="1">
        <v>71</v>
      </c>
      <c r="J100" s="1">
        <v>1021</v>
      </c>
      <c r="K100" s="12">
        <f>(Table14[[#This Row],[Customers End]]-Table14[[#This Row],[New Customers Acquired]])/Table14[[#This Row],[Customers Start]]</f>
        <v>0.99789915966386555</v>
      </c>
      <c r="L100" s="1">
        <v>135</v>
      </c>
      <c r="M100" s="1">
        <v>73</v>
      </c>
      <c r="N100" s="30">
        <v>23.300970873786401</v>
      </c>
      <c r="O100" s="1">
        <v>61</v>
      </c>
      <c r="P100" s="1">
        <v>49</v>
      </c>
      <c r="Q100" s="1">
        <f>Table14[[#This Row],[Promoters]]-Table14[[#This Row],[Detractors]]</f>
        <v>12</v>
      </c>
    </row>
    <row r="101" spans="1:17" x14ac:dyDescent="0.3">
      <c r="A101" s="1" t="s">
        <v>86</v>
      </c>
      <c r="B101" s="1" t="s">
        <v>44</v>
      </c>
      <c r="C101" s="1" t="s">
        <v>89</v>
      </c>
      <c r="D101" s="1" t="s">
        <v>84</v>
      </c>
      <c r="E101" s="54">
        <v>45472.037361504626</v>
      </c>
      <c r="F101" s="54">
        <v>45472.047083726851</v>
      </c>
      <c r="G101" s="1">
        <v>14</v>
      </c>
      <c r="H101" s="1">
        <v>923</v>
      </c>
      <c r="I101" s="1">
        <v>26</v>
      </c>
      <c r="J101" s="1">
        <v>930</v>
      </c>
      <c r="K101" s="12">
        <f>(Table14[[#This Row],[Customers End]]-Table14[[#This Row],[New Customers Acquired]])/Table14[[#This Row],[Customers Start]]</f>
        <v>0.97941495124593714</v>
      </c>
      <c r="L101" s="1">
        <v>100</v>
      </c>
      <c r="M101" s="1">
        <v>42</v>
      </c>
      <c r="N101" s="30">
        <v>23.300970873786401</v>
      </c>
      <c r="O101" s="1">
        <v>58</v>
      </c>
      <c r="P101" s="1">
        <v>27</v>
      </c>
      <c r="Q101" s="1">
        <f>Table14[[#This Row],[Promoters]]-Table14[[#This Row],[Detractors]]</f>
        <v>31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0477-62BE-40C7-B466-5F0010957580}">
  <sheetPr>
    <tabColor theme="9" tint="0.39997558519241921"/>
  </sheetPr>
  <dimension ref="A1:Z100"/>
  <sheetViews>
    <sheetView topLeftCell="B1" workbookViewId="0">
      <selection activeCell="I19" sqref="I19"/>
    </sheetView>
  </sheetViews>
  <sheetFormatPr defaultRowHeight="14.4" x14ac:dyDescent="0.3"/>
  <cols>
    <col min="1" max="1" width="12.77734375" bestFit="1" customWidth="1"/>
    <col min="2" max="2" width="22.5546875" customWidth="1"/>
    <col min="8" max="8" width="10.109375" bestFit="1" customWidth="1"/>
    <col min="9" max="9" width="20.44140625" bestFit="1" customWidth="1"/>
    <col min="10" max="10" width="23.77734375" customWidth="1"/>
  </cols>
  <sheetData>
    <row r="1" spans="1:26" x14ac:dyDescent="0.3">
      <c r="A1" s="1" t="s">
        <v>39</v>
      </c>
      <c r="B1" s="1" t="s">
        <v>92</v>
      </c>
      <c r="H1">
        <v>2</v>
      </c>
      <c r="I1">
        <v>1</v>
      </c>
      <c r="J1" t="str" cm="1">
        <f t="array" ref="J1:J4">_xlfn.UNIQUE(Table16[Time Period])</f>
        <v>Night</v>
      </c>
      <c r="L1">
        <v>2</v>
      </c>
      <c r="M1">
        <v>1</v>
      </c>
      <c r="N1" t="str" cm="1">
        <f t="array" ref="N1:N4">_xlfn.UNIQUE(Table16[Geographic Location])</f>
        <v>South</v>
      </c>
      <c r="P1">
        <v>3</v>
      </c>
      <c r="Q1">
        <v>1</v>
      </c>
      <c r="R1" t="str" cm="1">
        <f t="array" ref="R1:R3">_xlfn.UNIQUE(Table16[[ Channel]])</f>
        <v>Social Media</v>
      </c>
      <c r="U1">
        <v>16</v>
      </c>
      <c r="V1">
        <v>1</v>
      </c>
      <c r="W1" s="36">
        <f t="shared" ref="W1:W17" si="0">Z1*100</f>
        <v>99.158780231335442</v>
      </c>
      <c r="X1" s="66" t="s">
        <v>45</v>
      </c>
      <c r="Y1" s="66" t="s">
        <v>88</v>
      </c>
      <c r="Z1">
        <v>0.99158780231335442</v>
      </c>
    </row>
    <row r="2" spans="1:26" x14ac:dyDescent="0.3">
      <c r="A2" s="1" t="s">
        <v>42</v>
      </c>
      <c r="B2" s="1">
        <f>SUMIFS(Table14[Response Time (minutes)],Table16[[ Channel]],'Customer Experience'!$N$4,Table16[[ Segment]],'Customer Experience'!$N$2,Table16[Geographic Location],$A2)</f>
        <v>374</v>
      </c>
      <c r="I2">
        <v>2</v>
      </c>
      <c r="J2" t="str">
        <v>Morning</v>
      </c>
      <c r="M2">
        <v>2</v>
      </c>
      <c r="N2" t="str">
        <v>East</v>
      </c>
      <c r="Q2">
        <v>2</v>
      </c>
      <c r="R2" t="str">
        <v>Customer Service Portal</v>
      </c>
      <c r="V2">
        <v>2</v>
      </c>
      <c r="W2" s="36">
        <f t="shared" si="0"/>
        <v>96.370967741935488</v>
      </c>
      <c r="X2" s="67" t="s">
        <v>45</v>
      </c>
      <c r="Y2" s="67" t="s">
        <v>89</v>
      </c>
      <c r="Z2">
        <v>0.96370967741935487</v>
      </c>
    </row>
    <row r="3" spans="1:26" x14ac:dyDescent="0.3">
      <c r="A3" s="1" t="s">
        <v>49</v>
      </c>
      <c r="B3" s="1">
        <f>SUMIFS(Table14[Response Time (minutes)],Table16[[ Channel]],'Customer Experience'!$N$4,Table16[[ Segment]],'Customer Experience'!$N$2,Table16[Geographic Location],$A3)</f>
        <v>303</v>
      </c>
      <c r="I3">
        <v>3</v>
      </c>
      <c r="J3" t="str">
        <v>Evening</v>
      </c>
      <c r="M3">
        <v>3</v>
      </c>
      <c r="N3" t="str">
        <v>West</v>
      </c>
      <c r="Q3">
        <v>3</v>
      </c>
      <c r="R3" t="str">
        <v>Email</v>
      </c>
      <c r="V3">
        <v>3</v>
      </c>
      <c r="W3" s="36">
        <f t="shared" si="0"/>
        <v>96.498905908096276</v>
      </c>
      <c r="X3" s="66" t="s">
        <v>45</v>
      </c>
      <c r="Y3" s="66" t="s">
        <v>89</v>
      </c>
      <c r="Z3">
        <v>0.96498905908096277</v>
      </c>
    </row>
    <row r="4" spans="1:26" x14ac:dyDescent="0.3">
      <c r="A4" s="1" t="s">
        <v>44</v>
      </c>
      <c r="B4" s="1">
        <f>SUMIFS(Table14[Response Time (minutes)],Table16[[ Channel]],'Customer Experience'!$N$4,Table16[[ Segment]],'Customer Experience'!$N$2,Table16[Geographic Location],$A4)</f>
        <v>303</v>
      </c>
      <c r="I4">
        <v>4</v>
      </c>
      <c r="J4" t="str">
        <v>Afternoon</v>
      </c>
      <c r="M4">
        <v>4</v>
      </c>
      <c r="N4" t="str">
        <v>North</v>
      </c>
      <c r="V4">
        <v>4</v>
      </c>
      <c r="W4" s="36">
        <f t="shared" si="0"/>
        <v>95.777548918640576</v>
      </c>
      <c r="X4" s="67" t="s">
        <v>45</v>
      </c>
      <c r="Y4" s="67" t="s">
        <v>88</v>
      </c>
      <c r="Z4">
        <v>0.95777548918640576</v>
      </c>
    </row>
    <row r="5" spans="1:26" x14ac:dyDescent="0.3">
      <c r="A5" s="1" t="s">
        <v>45</v>
      </c>
      <c r="B5" s="1">
        <f>SUMIFS(Table14[Response Time (minutes)],Table16[[ Channel]],'Customer Experience'!$N$4,Table16[[ Segment]],'Customer Experience'!$N$2,Table16[Geographic Location],$A5)</f>
        <v>253</v>
      </c>
      <c r="V5">
        <v>5</v>
      </c>
      <c r="W5" s="36">
        <f t="shared" si="0"/>
        <v>95.520833333333329</v>
      </c>
      <c r="X5" s="66" t="s">
        <v>45</v>
      </c>
      <c r="Y5" s="66" t="s">
        <v>89</v>
      </c>
      <c r="Z5">
        <v>0.95520833333333333</v>
      </c>
    </row>
    <row r="6" spans="1:26" x14ac:dyDescent="0.3">
      <c r="H6">
        <v>1</v>
      </c>
      <c r="I6">
        <v>1</v>
      </c>
      <c r="J6" t="str" cm="1">
        <f t="array" ref="J6:J8">_xlfn.UNIQUE(Table16[[ Segment]])</f>
        <v>Occasional</v>
      </c>
      <c r="U6" s="64">
        <f>VLOOKUP(U1,V1:W100,2,0)</f>
        <v>99.894957983193279</v>
      </c>
      <c r="V6">
        <v>6</v>
      </c>
      <c r="W6" s="36">
        <f t="shared" si="0"/>
        <v>97.5</v>
      </c>
      <c r="X6" s="67" t="s">
        <v>49</v>
      </c>
      <c r="Y6" s="67" t="s">
        <v>90</v>
      </c>
      <c r="Z6">
        <v>0.97499999999999998</v>
      </c>
    </row>
    <row r="7" spans="1:26" x14ac:dyDescent="0.3">
      <c r="I7">
        <v>2</v>
      </c>
      <c r="J7" t="str">
        <v>First-time</v>
      </c>
      <c r="V7">
        <v>7</v>
      </c>
      <c r="W7" s="36">
        <f t="shared" si="0"/>
        <v>98.574338085539708</v>
      </c>
      <c r="X7" s="66" t="s">
        <v>49</v>
      </c>
      <c r="Y7" s="66" t="s">
        <v>90</v>
      </c>
      <c r="Z7">
        <v>0.98574338085539714</v>
      </c>
    </row>
    <row r="8" spans="1:26" x14ac:dyDescent="0.3">
      <c r="I8">
        <v>3</v>
      </c>
      <c r="J8" t="str">
        <v>Regular</v>
      </c>
      <c r="V8">
        <v>8</v>
      </c>
      <c r="W8" s="36">
        <f t="shared" si="0"/>
        <v>96.855983772819471</v>
      </c>
      <c r="X8" s="67" t="s">
        <v>45</v>
      </c>
      <c r="Y8" s="67" t="s">
        <v>88</v>
      </c>
      <c r="Z8">
        <v>0.96855983772819476</v>
      </c>
    </row>
    <row r="9" spans="1:26" x14ac:dyDescent="0.3">
      <c r="V9">
        <v>9</v>
      </c>
      <c r="W9" s="36">
        <f t="shared" si="0"/>
        <v>96.817248459958932</v>
      </c>
      <c r="X9" s="66" t="s">
        <v>44</v>
      </c>
      <c r="Y9" s="66" t="s">
        <v>88</v>
      </c>
      <c r="Z9">
        <v>0.96817248459958927</v>
      </c>
    </row>
    <row r="10" spans="1:26" x14ac:dyDescent="0.3">
      <c r="V10">
        <v>10</v>
      </c>
      <c r="W10" s="36">
        <f t="shared" si="0"/>
        <v>97.638603696098556</v>
      </c>
      <c r="X10" s="67" t="s">
        <v>42</v>
      </c>
      <c r="Y10" s="67" t="s">
        <v>88</v>
      </c>
      <c r="Z10">
        <v>0.97638603696098558</v>
      </c>
    </row>
    <row r="11" spans="1:26" x14ac:dyDescent="0.3">
      <c r="V11">
        <v>11</v>
      </c>
      <c r="W11" s="36">
        <f t="shared" si="0"/>
        <v>95.947315096251259</v>
      </c>
      <c r="X11" s="66" t="s">
        <v>45</v>
      </c>
      <c r="Y11" s="66" t="s">
        <v>90</v>
      </c>
      <c r="Z11">
        <v>0.95947315096251262</v>
      </c>
    </row>
    <row r="12" spans="1:26" x14ac:dyDescent="0.3">
      <c r="A12" s="26" t="s">
        <v>11</v>
      </c>
      <c r="B12" s="26" t="s">
        <v>12</v>
      </c>
      <c r="C12" s="26" t="s">
        <v>13</v>
      </c>
      <c r="D12" s="26" t="s">
        <v>14</v>
      </c>
      <c r="E12" s="26" t="s">
        <v>15</v>
      </c>
      <c r="F12" s="26" t="s">
        <v>16</v>
      </c>
      <c r="H12" t="s">
        <v>39</v>
      </c>
      <c r="I12" t="s">
        <v>96</v>
      </c>
      <c r="J12" t="s">
        <v>97</v>
      </c>
      <c r="V12">
        <v>12</v>
      </c>
      <c r="W12" s="36">
        <f t="shared" si="0"/>
        <v>95.195195195195197</v>
      </c>
      <c r="X12" s="67" t="s">
        <v>44</v>
      </c>
      <c r="Y12" s="67" t="s">
        <v>89</v>
      </c>
      <c r="Z12">
        <v>0.95195195195195192</v>
      </c>
    </row>
    <row r="13" spans="1:26" x14ac:dyDescent="0.3">
      <c r="A13" s="65">
        <f t="shared" ref="A13" si="1">J13</f>
        <v>0.99894957983193278</v>
      </c>
      <c r="B13" s="28">
        <v>1</v>
      </c>
      <c r="C13" s="29">
        <v>0.1</v>
      </c>
      <c r="D13" s="28">
        <f>A13/B13*180</f>
        <v>179.81092436974791</v>
      </c>
      <c r="E13" s="28">
        <v>0</v>
      </c>
      <c r="F13" s="28">
        <v>0</v>
      </c>
      <c r="H13" t="str">
        <f>'Customer Experience'!K4</f>
        <v>East</v>
      </c>
      <c r="I13" t="str">
        <f>'Customer Experience'!N2</f>
        <v>Occasional</v>
      </c>
      <c r="J13" s="64" cm="1">
        <f t="array" ref="J13">INDEX(Table14[Customer Retention Rate (%)], MATCH(1, (Table16[[ Segment]]='Transformed Data2'!I13)*(Table16[Geographic Location]='Transformed Data2'!H13), 0))</f>
        <v>0.99894957983193278</v>
      </c>
      <c r="K13" s="11">
        <f>J13/10</f>
        <v>9.9894957983193283E-2</v>
      </c>
      <c r="V13">
        <v>13</v>
      </c>
      <c r="W13" s="36">
        <f t="shared" si="0"/>
        <v>94.799566630552548</v>
      </c>
      <c r="X13" s="66" t="s">
        <v>42</v>
      </c>
      <c r="Y13" s="66" t="s">
        <v>90</v>
      </c>
      <c r="Z13">
        <v>0.94799566630552545</v>
      </c>
    </row>
    <row r="14" spans="1:26" x14ac:dyDescent="0.3">
      <c r="A14" s="29"/>
      <c r="B14" s="28"/>
      <c r="C14" s="29">
        <v>0.1</v>
      </c>
      <c r="D14" s="28"/>
      <c r="E14" s="28">
        <f>-COS(RADIANS(D13))</f>
        <v>0.9999945550304068</v>
      </c>
      <c r="F14" s="28">
        <f>SIN(RADIANS(D13))</f>
        <v>3.2999862937278532E-3</v>
      </c>
      <c r="V14">
        <v>14</v>
      </c>
      <c r="W14" s="36">
        <f t="shared" si="0"/>
        <v>98.780487804878049</v>
      </c>
      <c r="X14" s="67" t="s">
        <v>45</v>
      </c>
      <c r="Y14" s="67" t="s">
        <v>88</v>
      </c>
      <c r="Z14">
        <v>0.98780487804878048</v>
      </c>
    </row>
    <row r="15" spans="1:26" x14ac:dyDescent="0.3">
      <c r="A15" s="42">
        <f>A13*100</f>
        <v>99.894957983193279</v>
      </c>
      <c r="B15" s="28"/>
      <c r="C15" s="29">
        <v>0.1</v>
      </c>
      <c r="D15" s="28"/>
      <c r="E15" s="28"/>
      <c r="F15" s="28"/>
      <c r="H15" t="s">
        <v>96</v>
      </c>
      <c r="I15" t="s">
        <v>94</v>
      </c>
      <c r="J15" t="s">
        <v>98</v>
      </c>
      <c r="V15">
        <v>15</v>
      </c>
      <c r="W15" s="36">
        <f t="shared" si="0"/>
        <v>95.874049945711178</v>
      </c>
      <c r="X15" s="66" t="s">
        <v>45</v>
      </c>
      <c r="Y15" s="66" t="s">
        <v>89</v>
      </c>
      <c r="Z15">
        <v>0.95874049945711182</v>
      </c>
    </row>
    <row r="16" spans="1:26" x14ac:dyDescent="0.3">
      <c r="A16" s="63"/>
      <c r="C16" s="29">
        <v>0.1</v>
      </c>
      <c r="H16" t="str">
        <f>'Customer Experience'!N2</f>
        <v>Occasional</v>
      </c>
      <c r="I16" t="str">
        <f>'Customer Experience'!N4</f>
        <v>Email</v>
      </c>
      <c r="J16" cm="1">
        <f t="array" ref="J16">INDEX(Table14[NPS], MATCH(1, (Table16[[ Segment]]='Transformed Data2'!H16)*(Table16[[ Channel]]='Transformed Data2'!I16), 0))</f>
        <v>56</v>
      </c>
      <c r="V16">
        <v>16</v>
      </c>
      <c r="W16" s="36">
        <f t="shared" si="0"/>
        <v>99.894957983193279</v>
      </c>
      <c r="X16" s="67" t="s">
        <v>49</v>
      </c>
      <c r="Y16" s="67" t="s">
        <v>89</v>
      </c>
      <c r="Z16">
        <v>0.99894957983193278</v>
      </c>
    </row>
    <row r="17" spans="1:26" x14ac:dyDescent="0.3">
      <c r="A17" s="63"/>
      <c r="C17" s="29">
        <v>0.1</v>
      </c>
      <c r="V17">
        <v>17</v>
      </c>
      <c r="W17" s="36">
        <f t="shared" si="0"/>
        <v>99.7780244173141</v>
      </c>
      <c r="X17" s="66" t="s">
        <v>42</v>
      </c>
      <c r="Y17" s="66" t="s">
        <v>90</v>
      </c>
      <c r="Z17">
        <v>0.99778024417314093</v>
      </c>
    </row>
    <row r="18" spans="1:26" x14ac:dyDescent="0.3">
      <c r="A18" s="63"/>
      <c r="C18" s="29">
        <v>0.5</v>
      </c>
      <c r="H18" t="s">
        <v>39</v>
      </c>
      <c r="I18" t="s">
        <v>101</v>
      </c>
      <c r="U18">
        <v>18</v>
      </c>
      <c r="V18" s="36">
        <f>Y18*100</f>
        <v>95.136778115501514</v>
      </c>
      <c r="W18" s="67" t="s">
        <v>42</v>
      </c>
      <c r="X18" s="67" t="s">
        <v>88</v>
      </c>
      <c r="Y18">
        <v>0.95136778115501519</v>
      </c>
    </row>
    <row r="19" spans="1:26" x14ac:dyDescent="0.3">
      <c r="H19" t="s">
        <v>42</v>
      </c>
      <c r="I19">
        <f>SUMIFS(Table14[Issues Resolved],Table16[[ Channel]],'Customer Experience'!$N$4,Table16[[ Segment]],'Customer Experience'!$N$2,Table16[Geographic Location],Table21[[#This Row],[Region]])</f>
        <v>108</v>
      </c>
      <c r="J19" s="36"/>
      <c r="U19">
        <v>19</v>
      </c>
      <c r="V19" s="36">
        <f>Y19*100</f>
        <v>96.124865446716896</v>
      </c>
      <c r="W19" s="66" t="s">
        <v>44</v>
      </c>
      <c r="X19" s="66" t="s">
        <v>90</v>
      </c>
      <c r="Y19">
        <v>0.96124865446716901</v>
      </c>
    </row>
    <row r="20" spans="1:26" x14ac:dyDescent="0.3">
      <c r="H20" t="s">
        <v>102</v>
      </c>
      <c r="I20">
        <f>SUMIFS(Table14[Issues Resolved],Table16[[ Channel]],'Customer Experience'!$N$4,Table16[[ Segment]],'Customer Experience'!$N$2,Table16[Geographic Location],Table21[[#This Row],[Region]])</f>
        <v>355</v>
      </c>
      <c r="J20" s="36"/>
      <c r="U20">
        <v>20</v>
      </c>
      <c r="V20" s="36">
        <f>Y20*100</f>
        <v>94.877267876200648</v>
      </c>
      <c r="W20" s="67" t="s">
        <v>49</v>
      </c>
      <c r="X20" s="67" t="s">
        <v>89</v>
      </c>
      <c r="Y20">
        <v>0.94877267876200644</v>
      </c>
    </row>
    <row r="21" spans="1:26" x14ac:dyDescent="0.3">
      <c r="A21" s="26" t="s">
        <v>11</v>
      </c>
      <c r="B21" s="26" t="s">
        <v>12</v>
      </c>
      <c r="C21" s="26" t="s">
        <v>13</v>
      </c>
      <c r="D21" s="26" t="s">
        <v>14</v>
      </c>
      <c r="E21" s="26" t="s">
        <v>15</v>
      </c>
      <c r="F21" s="26" t="s">
        <v>16</v>
      </c>
      <c r="H21" t="s">
        <v>44</v>
      </c>
      <c r="I21">
        <f>SUMIFS(Table14[Issues Resolved],Table16[[ Channel]],'Customer Experience'!$N$4,Table16[[ Segment]],'Customer Experience'!$N$2,Table16[Geographic Location],Table21[[#This Row],[Region]])</f>
        <v>280</v>
      </c>
      <c r="J21" s="36"/>
      <c r="U21">
        <v>21</v>
      </c>
      <c r="V21" s="36">
        <f>Y21*100</f>
        <v>98.224195338512772</v>
      </c>
      <c r="W21" s="66" t="s">
        <v>49</v>
      </c>
      <c r="X21" s="66" t="s">
        <v>90</v>
      </c>
      <c r="Y21">
        <v>0.98224195338512765</v>
      </c>
    </row>
    <row r="22" spans="1:26" x14ac:dyDescent="0.3">
      <c r="A22" s="68">
        <f t="shared" ref="A22" si="2">J16</f>
        <v>56</v>
      </c>
      <c r="B22" s="28">
        <v>100</v>
      </c>
      <c r="C22" s="29">
        <v>0.1</v>
      </c>
      <c r="D22" s="28">
        <f>A22/B22*180</f>
        <v>100.80000000000001</v>
      </c>
      <c r="E22" s="28">
        <v>0</v>
      </c>
      <c r="F22" s="28">
        <v>0</v>
      </c>
      <c r="H22" t="s">
        <v>45</v>
      </c>
      <c r="I22">
        <f>SUMIFS(Table14[Issues Resolved],Table16[[ Channel]],'Customer Experience'!$N$4,Table16[[ Segment]],'Customer Experience'!$N$2,Table16[Geographic Location],Table21[[#This Row],[Region]])</f>
        <v>156</v>
      </c>
      <c r="J22" s="36"/>
      <c r="U22">
        <v>22</v>
      </c>
      <c r="V22" s="36">
        <f>Y22*100</f>
        <v>95.015576323987545</v>
      </c>
      <c r="W22" s="67" t="s">
        <v>49</v>
      </c>
      <c r="X22" s="67" t="s">
        <v>90</v>
      </c>
      <c r="Y22">
        <v>0.95015576323987538</v>
      </c>
    </row>
    <row r="23" spans="1:26" x14ac:dyDescent="0.3">
      <c r="A23" s="42"/>
      <c r="B23" s="28"/>
      <c r="C23" s="29">
        <v>0.1</v>
      </c>
      <c r="D23" s="28"/>
      <c r="E23" s="28">
        <f>-COS(RADIANS(D22))</f>
        <v>0.18738131458572482</v>
      </c>
      <c r="F23" s="28">
        <f>SIN(RADIANS(D22))</f>
        <v>0.98228725072868861</v>
      </c>
      <c r="V23">
        <v>23</v>
      </c>
      <c r="W23" s="36">
        <f t="shared" ref="W23:W54" si="3">Z23*100</f>
        <v>99.895724713242956</v>
      </c>
      <c r="X23" s="66" t="s">
        <v>49</v>
      </c>
      <c r="Y23" s="66" t="s">
        <v>88</v>
      </c>
      <c r="Z23">
        <v>0.99895724713242962</v>
      </c>
    </row>
    <row r="24" spans="1:26" x14ac:dyDescent="0.3">
      <c r="A24" s="42"/>
      <c r="B24" s="28"/>
      <c r="C24" s="29">
        <v>0.1</v>
      </c>
      <c r="D24" s="28"/>
      <c r="E24" s="28"/>
      <c r="F24" s="28"/>
      <c r="V24">
        <v>24</v>
      </c>
      <c r="W24" s="36">
        <f t="shared" si="3"/>
        <v>99.891304347826079</v>
      </c>
      <c r="X24" s="67" t="s">
        <v>42</v>
      </c>
      <c r="Y24" s="67" t="s">
        <v>88</v>
      </c>
      <c r="Z24">
        <v>0.99891304347826082</v>
      </c>
    </row>
    <row r="25" spans="1:26" x14ac:dyDescent="0.3">
      <c r="A25" s="36"/>
      <c r="C25" s="29">
        <v>0.1</v>
      </c>
      <c r="V25">
        <v>25</v>
      </c>
      <c r="W25" s="36">
        <f t="shared" si="3"/>
        <v>97.103004291845494</v>
      </c>
      <c r="X25" s="66" t="s">
        <v>42</v>
      </c>
      <c r="Y25" s="66" t="s">
        <v>89</v>
      </c>
      <c r="Z25">
        <v>0.97103004291845496</v>
      </c>
    </row>
    <row r="26" spans="1:26" x14ac:dyDescent="0.3">
      <c r="A26" s="36"/>
      <c r="C26" s="29">
        <v>0.1</v>
      </c>
      <c r="V26">
        <v>26</v>
      </c>
      <c r="W26" s="36">
        <f t="shared" si="3"/>
        <v>97.743589743589737</v>
      </c>
      <c r="X26" s="67" t="s">
        <v>45</v>
      </c>
      <c r="Y26" s="67" t="s">
        <v>90</v>
      </c>
      <c r="Z26">
        <v>0.97743589743589743</v>
      </c>
    </row>
    <row r="27" spans="1:26" x14ac:dyDescent="0.3">
      <c r="A27" s="36"/>
      <c r="C27" s="29">
        <v>0.5</v>
      </c>
      <c r="V27">
        <v>27</v>
      </c>
      <c r="W27" s="36">
        <f t="shared" si="3"/>
        <v>96.238244514106583</v>
      </c>
      <c r="X27" s="66" t="s">
        <v>45</v>
      </c>
      <c r="Y27" s="66" t="s">
        <v>90</v>
      </c>
      <c r="Z27">
        <v>0.96238244514106586</v>
      </c>
    </row>
    <row r="28" spans="1:26" x14ac:dyDescent="0.3">
      <c r="V28">
        <v>28</v>
      </c>
      <c r="W28" s="36">
        <f t="shared" si="3"/>
        <v>96.634093376764383</v>
      </c>
      <c r="X28" s="67" t="s">
        <v>49</v>
      </c>
      <c r="Y28" s="67" t="s">
        <v>90</v>
      </c>
      <c r="Z28">
        <v>0.96634093376764385</v>
      </c>
    </row>
    <row r="29" spans="1:26" x14ac:dyDescent="0.3">
      <c r="V29">
        <v>29</v>
      </c>
      <c r="W29" s="36">
        <f t="shared" si="3"/>
        <v>96.761133603238875</v>
      </c>
      <c r="X29" s="66" t="s">
        <v>49</v>
      </c>
      <c r="Y29" s="66" t="s">
        <v>89</v>
      </c>
      <c r="Z29">
        <v>0.96761133603238869</v>
      </c>
    </row>
    <row r="30" spans="1:26" x14ac:dyDescent="0.3">
      <c r="V30">
        <v>30</v>
      </c>
      <c r="W30" s="36">
        <f t="shared" si="3"/>
        <v>100</v>
      </c>
      <c r="X30" s="67" t="s">
        <v>49</v>
      </c>
      <c r="Y30" s="67" t="s">
        <v>89</v>
      </c>
      <c r="Z30">
        <v>1</v>
      </c>
    </row>
    <row r="31" spans="1:26" x14ac:dyDescent="0.3">
      <c r="V31">
        <v>31</v>
      </c>
      <c r="W31" s="36">
        <f t="shared" si="3"/>
        <v>98.181818181818187</v>
      </c>
      <c r="X31" s="66" t="s">
        <v>45</v>
      </c>
      <c r="Y31" s="66" t="s">
        <v>88</v>
      </c>
      <c r="Z31">
        <v>0.98181818181818181</v>
      </c>
    </row>
    <row r="32" spans="1:26" x14ac:dyDescent="0.3">
      <c r="V32">
        <v>32</v>
      </c>
      <c r="W32" s="36">
        <f t="shared" si="3"/>
        <v>99.895615866388312</v>
      </c>
      <c r="X32" s="67" t="s">
        <v>44</v>
      </c>
      <c r="Y32" s="67" t="s">
        <v>88</v>
      </c>
      <c r="Z32">
        <v>0.9989561586638831</v>
      </c>
    </row>
    <row r="33" spans="22:26" x14ac:dyDescent="0.3">
      <c r="V33">
        <v>33</v>
      </c>
      <c r="W33" s="36">
        <f t="shared" si="3"/>
        <v>95.430393198724758</v>
      </c>
      <c r="X33" s="66" t="s">
        <v>44</v>
      </c>
      <c r="Y33" s="66" t="s">
        <v>88</v>
      </c>
      <c r="Z33">
        <v>0.95430393198724761</v>
      </c>
    </row>
    <row r="34" spans="22:26" x14ac:dyDescent="0.3">
      <c r="V34">
        <v>34</v>
      </c>
      <c r="W34" s="36">
        <f t="shared" si="3"/>
        <v>97.477295660948542</v>
      </c>
      <c r="X34" s="67" t="s">
        <v>45</v>
      </c>
      <c r="Y34" s="67" t="s">
        <v>90</v>
      </c>
      <c r="Z34">
        <v>0.97477295660948537</v>
      </c>
    </row>
    <row r="35" spans="22:26" x14ac:dyDescent="0.3">
      <c r="V35">
        <v>35</v>
      </c>
      <c r="W35" s="36">
        <f t="shared" si="3"/>
        <v>96.767466110531814</v>
      </c>
      <c r="X35" s="66" t="s">
        <v>45</v>
      </c>
      <c r="Y35" s="66" t="s">
        <v>90</v>
      </c>
      <c r="Z35">
        <v>0.96767466110531808</v>
      </c>
    </row>
    <row r="36" spans="22:26" x14ac:dyDescent="0.3">
      <c r="V36">
        <v>36</v>
      </c>
      <c r="W36" s="36">
        <f t="shared" si="3"/>
        <v>99.489274770173637</v>
      </c>
      <c r="X36" s="67" t="s">
        <v>45</v>
      </c>
      <c r="Y36" s="67" t="s">
        <v>88</v>
      </c>
      <c r="Z36">
        <v>0.99489274770173641</v>
      </c>
    </row>
    <row r="37" spans="22:26" x14ac:dyDescent="0.3">
      <c r="V37">
        <v>37</v>
      </c>
      <c r="W37" s="36">
        <f t="shared" si="3"/>
        <v>96.608315098468267</v>
      </c>
      <c r="X37" s="66" t="s">
        <v>45</v>
      </c>
      <c r="Y37" s="66" t="s">
        <v>90</v>
      </c>
      <c r="Z37">
        <v>0.96608315098468267</v>
      </c>
    </row>
    <row r="38" spans="22:26" x14ac:dyDescent="0.3">
      <c r="V38">
        <v>38</v>
      </c>
      <c r="W38" s="36">
        <f t="shared" si="3"/>
        <v>99.687825182101975</v>
      </c>
      <c r="X38" s="67" t="s">
        <v>45</v>
      </c>
      <c r="Y38" s="67" t="s">
        <v>88</v>
      </c>
      <c r="Z38">
        <v>0.99687825182101975</v>
      </c>
    </row>
    <row r="39" spans="22:26" x14ac:dyDescent="0.3">
      <c r="V39">
        <v>39</v>
      </c>
      <c r="W39" s="36">
        <f t="shared" si="3"/>
        <v>98.959417273673253</v>
      </c>
      <c r="X39" s="66" t="s">
        <v>45</v>
      </c>
      <c r="Y39" s="66" t="s">
        <v>89</v>
      </c>
      <c r="Z39">
        <v>0.98959417273673256</v>
      </c>
    </row>
    <row r="40" spans="22:26" x14ac:dyDescent="0.3">
      <c r="V40">
        <v>40</v>
      </c>
      <c r="W40" s="36">
        <f t="shared" si="3"/>
        <v>98.308668076109939</v>
      </c>
      <c r="X40" s="67" t="s">
        <v>49</v>
      </c>
      <c r="Y40" s="67" t="s">
        <v>88</v>
      </c>
      <c r="Z40">
        <v>0.9830866807610994</v>
      </c>
    </row>
    <row r="41" spans="22:26" x14ac:dyDescent="0.3">
      <c r="V41">
        <v>41</v>
      </c>
      <c r="W41" s="36">
        <f t="shared" si="3"/>
        <v>96.149843912591052</v>
      </c>
      <c r="X41" s="66" t="s">
        <v>49</v>
      </c>
      <c r="Y41" s="66" t="s">
        <v>89</v>
      </c>
      <c r="Z41">
        <v>0.96149843912591049</v>
      </c>
    </row>
    <row r="42" spans="22:26" x14ac:dyDescent="0.3">
      <c r="V42">
        <v>42</v>
      </c>
      <c r="W42" s="36">
        <f t="shared" si="3"/>
        <v>97.578947368421055</v>
      </c>
      <c r="X42" s="67" t="s">
        <v>49</v>
      </c>
      <c r="Y42" s="67" t="s">
        <v>90</v>
      </c>
      <c r="Z42">
        <v>0.97578947368421054</v>
      </c>
    </row>
    <row r="43" spans="22:26" x14ac:dyDescent="0.3">
      <c r="V43">
        <v>43</v>
      </c>
      <c r="W43" s="36">
        <f t="shared" si="3"/>
        <v>99.580712788259959</v>
      </c>
      <c r="X43" s="66" t="s">
        <v>49</v>
      </c>
      <c r="Y43" s="66" t="s">
        <v>88</v>
      </c>
      <c r="Z43">
        <v>0.99580712788259962</v>
      </c>
    </row>
    <row r="44" spans="22:26" x14ac:dyDescent="0.3">
      <c r="V44">
        <v>44</v>
      </c>
      <c r="W44" s="36">
        <f t="shared" si="3"/>
        <v>96.573208722741427</v>
      </c>
      <c r="X44" s="67" t="s">
        <v>45</v>
      </c>
      <c r="Y44" s="67" t="s">
        <v>90</v>
      </c>
      <c r="Z44">
        <v>0.96573208722741433</v>
      </c>
    </row>
    <row r="45" spans="22:26" x14ac:dyDescent="0.3">
      <c r="V45">
        <v>45</v>
      </c>
      <c r="W45" s="36">
        <f t="shared" si="3"/>
        <v>99.445676274944574</v>
      </c>
      <c r="X45" s="66" t="s">
        <v>44</v>
      </c>
      <c r="Y45" s="66" t="s">
        <v>89</v>
      </c>
      <c r="Z45">
        <v>0.99445676274944572</v>
      </c>
    </row>
    <row r="46" spans="22:26" x14ac:dyDescent="0.3">
      <c r="V46">
        <v>46</v>
      </c>
      <c r="W46" s="36">
        <f t="shared" si="3"/>
        <v>97.78947368421052</v>
      </c>
      <c r="X46" s="67" t="s">
        <v>42</v>
      </c>
      <c r="Y46" s="67" t="s">
        <v>89</v>
      </c>
      <c r="Z46">
        <v>0.97789473684210526</v>
      </c>
    </row>
    <row r="47" spans="22:26" x14ac:dyDescent="0.3">
      <c r="V47">
        <v>47</v>
      </c>
      <c r="W47" s="36">
        <f t="shared" si="3"/>
        <v>98.896247240618109</v>
      </c>
      <c r="X47" s="66" t="s">
        <v>45</v>
      </c>
      <c r="Y47" s="66" t="s">
        <v>89</v>
      </c>
      <c r="Z47">
        <v>0.98896247240618107</v>
      </c>
    </row>
    <row r="48" spans="22:26" x14ac:dyDescent="0.3">
      <c r="V48">
        <v>48</v>
      </c>
      <c r="W48" s="36">
        <f t="shared" si="3"/>
        <v>94.891304347826093</v>
      </c>
      <c r="X48" s="67" t="s">
        <v>42</v>
      </c>
      <c r="Y48" s="67" t="s">
        <v>90</v>
      </c>
      <c r="Z48">
        <v>0.94891304347826089</v>
      </c>
    </row>
    <row r="49" spans="22:26" x14ac:dyDescent="0.3">
      <c r="V49">
        <v>49</v>
      </c>
      <c r="W49" s="36">
        <f t="shared" si="3"/>
        <v>98.456790123456798</v>
      </c>
      <c r="X49" s="66" t="s">
        <v>44</v>
      </c>
      <c r="Y49" s="66" t="s">
        <v>90</v>
      </c>
      <c r="Z49">
        <v>0.98456790123456794</v>
      </c>
    </row>
    <row r="50" spans="22:26" x14ac:dyDescent="0.3">
      <c r="V50">
        <v>50</v>
      </c>
      <c r="W50" s="36">
        <f t="shared" si="3"/>
        <v>96.588486140724953</v>
      </c>
      <c r="X50" s="67" t="s">
        <v>49</v>
      </c>
      <c r="Y50" s="67" t="s">
        <v>90</v>
      </c>
      <c r="Z50">
        <v>0.9658848614072495</v>
      </c>
    </row>
    <row r="51" spans="22:26" x14ac:dyDescent="0.3">
      <c r="V51">
        <v>51</v>
      </c>
      <c r="W51" s="36">
        <f t="shared" si="3"/>
        <v>99.127589967284621</v>
      </c>
      <c r="X51" s="66" t="s">
        <v>44</v>
      </c>
      <c r="Y51" s="66" t="s">
        <v>90</v>
      </c>
      <c r="Z51">
        <v>0.99127589967284624</v>
      </c>
    </row>
    <row r="52" spans="22:26" x14ac:dyDescent="0.3">
      <c r="V52">
        <v>52</v>
      </c>
      <c r="W52" s="36">
        <f t="shared" si="3"/>
        <v>99.446290143964561</v>
      </c>
      <c r="X52" s="67" t="s">
        <v>45</v>
      </c>
      <c r="Y52" s="67" t="s">
        <v>89</v>
      </c>
      <c r="Z52">
        <v>0.99446290143964566</v>
      </c>
    </row>
    <row r="53" spans="22:26" x14ac:dyDescent="0.3">
      <c r="V53">
        <v>53</v>
      </c>
      <c r="W53" s="36">
        <f t="shared" si="3"/>
        <v>98.481781376518214</v>
      </c>
      <c r="X53" s="66" t="s">
        <v>49</v>
      </c>
      <c r="Y53" s="66" t="s">
        <v>89</v>
      </c>
      <c r="Z53">
        <v>0.98481781376518218</v>
      </c>
    </row>
    <row r="54" spans="22:26" x14ac:dyDescent="0.3">
      <c r="V54">
        <v>54</v>
      </c>
      <c r="W54" s="36">
        <f t="shared" si="3"/>
        <v>97.080291970802918</v>
      </c>
      <c r="X54" s="67" t="s">
        <v>45</v>
      </c>
      <c r="Y54" s="67" t="s">
        <v>88</v>
      </c>
      <c r="Z54">
        <v>0.97080291970802923</v>
      </c>
    </row>
    <row r="55" spans="22:26" x14ac:dyDescent="0.3">
      <c r="V55">
        <v>55</v>
      </c>
      <c r="W55" s="36">
        <f t="shared" ref="W55:W86" si="4">Z55*100</f>
        <v>99.780941949616647</v>
      </c>
      <c r="X55" s="66" t="s">
        <v>49</v>
      </c>
      <c r="Y55" s="66" t="s">
        <v>88</v>
      </c>
      <c r="Z55">
        <v>0.99780941949616653</v>
      </c>
    </row>
    <row r="56" spans="22:26" x14ac:dyDescent="0.3">
      <c r="V56">
        <v>56</v>
      </c>
      <c r="W56" s="36">
        <f t="shared" si="4"/>
        <v>97.907488986784145</v>
      </c>
      <c r="X56" s="67" t="s">
        <v>42</v>
      </c>
      <c r="Y56" s="67" t="s">
        <v>90</v>
      </c>
      <c r="Z56">
        <v>0.97907488986784141</v>
      </c>
    </row>
    <row r="57" spans="22:26" x14ac:dyDescent="0.3">
      <c r="V57">
        <v>57</v>
      </c>
      <c r="W57" s="36">
        <f t="shared" si="4"/>
        <v>96.461071789686542</v>
      </c>
      <c r="X57" s="66" t="s">
        <v>42</v>
      </c>
      <c r="Y57" s="66" t="s">
        <v>89</v>
      </c>
      <c r="Z57">
        <v>0.96461071789686548</v>
      </c>
    </row>
    <row r="58" spans="22:26" x14ac:dyDescent="0.3">
      <c r="V58">
        <v>58</v>
      </c>
      <c r="W58" s="36">
        <f t="shared" si="4"/>
        <v>98.109243697478988</v>
      </c>
      <c r="X58" s="67" t="s">
        <v>42</v>
      </c>
      <c r="Y58" s="67" t="s">
        <v>89</v>
      </c>
      <c r="Z58">
        <v>0.98109243697478987</v>
      </c>
    </row>
    <row r="59" spans="22:26" x14ac:dyDescent="0.3">
      <c r="V59">
        <v>59</v>
      </c>
      <c r="W59" s="36">
        <f t="shared" si="4"/>
        <v>97.225305216426193</v>
      </c>
      <c r="X59" s="66" t="s">
        <v>44</v>
      </c>
      <c r="Y59" s="66" t="s">
        <v>89</v>
      </c>
      <c r="Z59">
        <v>0.97225305216426194</v>
      </c>
    </row>
    <row r="60" spans="22:26" x14ac:dyDescent="0.3">
      <c r="V60">
        <v>60</v>
      </c>
      <c r="W60" s="36">
        <f t="shared" si="4"/>
        <v>99.796541200406921</v>
      </c>
      <c r="X60" s="67" t="s">
        <v>45</v>
      </c>
      <c r="Y60" s="67" t="s">
        <v>88</v>
      </c>
      <c r="Z60">
        <v>0.99796541200406919</v>
      </c>
    </row>
    <row r="61" spans="22:26" x14ac:dyDescent="0.3">
      <c r="V61">
        <v>61</v>
      </c>
      <c r="W61" s="36">
        <f t="shared" si="4"/>
        <v>98.183652875882942</v>
      </c>
      <c r="X61" s="66" t="s">
        <v>44</v>
      </c>
      <c r="Y61" s="66" t="s">
        <v>88</v>
      </c>
      <c r="Z61">
        <v>0.98183652875882943</v>
      </c>
    </row>
    <row r="62" spans="22:26" x14ac:dyDescent="0.3">
      <c r="V62">
        <v>62</v>
      </c>
      <c r="W62" s="36">
        <f t="shared" si="4"/>
        <v>98.018769551616273</v>
      </c>
      <c r="X62" s="67" t="s">
        <v>42</v>
      </c>
      <c r="Y62" s="67" t="s">
        <v>89</v>
      </c>
      <c r="Z62">
        <v>0.98018769551616269</v>
      </c>
    </row>
    <row r="63" spans="22:26" x14ac:dyDescent="0.3">
      <c r="V63">
        <v>63</v>
      </c>
      <c r="W63" s="36">
        <f t="shared" si="4"/>
        <v>96.80412371134021</v>
      </c>
      <c r="X63" s="66" t="s">
        <v>45</v>
      </c>
      <c r="Y63" s="66" t="s">
        <v>89</v>
      </c>
      <c r="Z63">
        <v>0.96804123711340206</v>
      </c>
    </row>
    <row r="64" spans="22:26" x14ac:dyDescent="0.3">
      <c r="V64">
        <v>64</v>
      </c>
      <c r="W64" s="36">
        <f t="shared" si="4"/>
        <v>99.363732767762457</v>
      </c>
      <c r="X64" s="67" t="s">
        <v>42</v>
      </c>
      <c r="Y64" s="67" t="s">
        <v>89</v>
      </c>
      <c r="Z64">
        <v>0.99363732767762458</v>
      </c>
    </row>
    <row r="65" spans="22:26" x14ac:dyDescent="0.3">
      <c r="V65">
        <v>65</v>
      </c>
      <c r="W65" s="36">
        <f t="shared" si="4"/>
        <v>95.589856670341788</v>
      </c>
      <c r="X65" s="66" t="s">
        <v>44</v>
      </c>
      <c r="Y65" s="66" t="s">
        <v>88</v>
      </c>
      <c r="Z65">
        <v>0.95589856670341788</v>
      </c>
    </row>
    <row r="66" spans="22:26" x14ac:dyDescent="0.3">
      <c r="V66">
        <v>66</v>
      </c>
      <c r="W66" s="36">
        <f t="shared" si="4"/>
        <v>96.617336152219863</v>
      </c>
      <c r="X66" s="67" t="s">
        <v>44</v>
      </c>
      <c r="Y66" s="67" t="s">
        <v>89</v>
      </c>
      <c r="Z66">
        <v>0.96617336152219868</v>
      </c>
    </row>
    <row r="67" spans="22:26" x14ac:dyDescent="0.3">
      <c r="V67">
        <v>67</v>
      </c>
      <c r="W67" s="36">
        <f t="shared" si="4"/>
        <v>95.824411134903642</v>
      </c>
      <c r="X67" s="66" t="s">
        <v>44</v>
      </c>
      <c r="Y67" s="66" t="s">
        <v>89</v>
      </c>
      <c r="Z67">
        <v>0.95824411134903642</v>
      </c>
    </row>
    <row r="68" spans="22:26" x14ac:dyDescent="0.3">
      <c r="V68">
        <v>68</v>
      </c>
      <c r="W68" s="36">
        <f t="shared" si="4"/>
        <v>96.110542476970323</v>
      </c>
      <c r="X68" s="67" t="s">
        <v>42</v>
      </c>
      <c r="Y68" s="67" t="s">
        <v>90</v>
      </c>
      <c r="Z68">
        <v>0.96110542476970318</v>
      </c>
    </row>
    <row r="69" spans="22:26" x14ac:dyDescent="0.3">
      <c r="V69">
        <v>69</v>
      </c>
      <c r="W69" s="36">
        <f t="shared" si="4"/>
        <v>98.265306122448976</v>
      </c>
      <c r="X69" s="66" t="s">
        <v>45</v>
      </c>
      <c r="Y69" s="66" t="s">
        <v>90</v>
      </c>
      <c r="Z69">
        <v>0.98265306122448981</v>
      </c>
    </row>
    <row r="70" spans="22:26" x14ac:dyDescent="0.3">
      <c r="V70">
        <v>70</v>
      </c>
      <c r="W70" s="36">
        <f t="shared" si="4"/>
        <v>95.828877005347593</v>
      </c>
      <c r="X70" s="67" t="s">
        <v>45</v>
      </c>
      <c r="Y70" s="67" t="s">
        <v>88</v>
      </c>
      <c r="Z70">
        <v>0.9582887700534759</v>
      </c>
    </row>
    <row r="71" spans="22:26" x14ac:dyDescent="0.3">
      <c r="V71">
        <v>71</v>
      </c>
      <c r="W71" s="36">
        <f t="shared" si="4"/>
        <v>100</v>
      </c>
      <c r="X71" s="66" t="s">
        <v>42</v>
      </c>
      <c r="Y71" s="66" t="s">
        <v>89</v>
      </c>
      <c r="Z71">
        <v>1</v>
      </c>
    </row>
    <row r="72" spans="22:26" x14ac:dyDescent="0.3">
      <c r="V72">
        <v>72</v>
      </c>
      <c r="W72" s="36">
        <f t="shared" si="4"/>
        <v>98.892580287929121</v>
      </c>
      <c r="X72" s="67" t="s">
        <v>45</v>
      </c>
      <c r="Y72" s="67" t="s">
        <v>89</v>
      </c>
      <c r="Z72">
        <v>0.98892580287929122</v>
      </c>
    </row>
    <row r="73" spans="22:26" x14ac:dyDescent="0.3">
      <c r="V73">
        <v>73</v>
      </c>
      <c r="W73" s="36">
        <f t="shared" si="4"/>
        <v>97.003329633740293</v>
      </c>
      <c r="X73" s="66" t="s">
        <v>42</v>
      </c>
      <c r="Y73" s="66" t="s">
        <v>90</v>
      </c>
      <c r="Z73">
        <v>0.97003329633740287</v>
      </c>
    </row>
    <row r="74" spans="22:26" x14ac:dyDescent="0.3">
      <c r="V74">
        <v>74</v>
      </c>
      <c r="W74" s="36">
        <f t="shared" si="4"/>
        <v>97.348066298342545</v>
      </c>
      <c r="X74" s="67" t="s">
        <v>45</v>
      </c>
      <c r="Y74" s="67" t="s">
        <v>88</v>
      </c>
      <c r="Z74">
        <v>0.97348066298342539</v>
      </c>
    </row>
    <row r="75" spans="22:26" x14ac:dyDescent="0.3">
      <c r="V75">
        <v>75</v>
      </c>
      <c r="W75" s="36">
        <f t="shared" si="4"/>
        <v>94.858342077649525</v>
      </c>
      <c r="X75" s="66" t="s">
        <v>49</v>
      </c>
      <c r="Y75" s="66" t="s">
        <v>90</v>
      </c>
      <c r="Z75">
        <v>0.94858342077649527</v>
      </c>
    </row>
    <row r="76" spans="22:26" x14ac:dyDescent="0.3">
      <c r="V76">
        <v>76</v>
      </c>
      <c r="W76" s="36">
        <f t="shared" si="4"/>
        <v>97.563676633444075</v>
      </c>
      <c r="X76" s="67" t="s">
        <v>49</v>
      </c>
      <c r="Y76" s="67" t="s">
        <v>90</v>
      </c>
      <c r="Z76">
        <v>0.97563676633444074</v>
      </c>
    </row>
    <row r="77" spans="22:26" x14ac:dyDescent="0.3">
      <c r="V77">
        <v>77</v>
      </c>
      <c r="W77" s="36">
        <f t="shared" si="4"/>
        <v>96.852046169989507</v>
      </c>
      <c r="X77" s="66" t="s">
        <v>44</v>
      </c>
      <c r="Y77" s="66" t="s">
        <v>90</v>
      </c>
      <c r="Z77">
        <v>0.96852046169989503</v>
      </c>
    </row>
    <row r="78" spans="22:26" x14ac:dyDescent="0.3">
      <c r="V78">
        <v>78</v>
      </c>
      <c r="W78" s="36">
        <f t="shared" si="4"/>
        <v>97.076612903225808</v>
      </c>
      <c r="X78" s="67" t="s">
        <v>49</v>
      </c>
      <c r="Y78" s="67" t="s">
        <v>90</v>
      </c>
      <c r="Z78">
        <v>0.97076612903225812</v>
      </c>
    </row>
    <row r="79" spans="22:26" x14ac:dyDescent="0.3">
      <c r="V79">
        <v>79</v>
      </c>
      <c r="W79" s="36">
        <f t="shared" si="4"/>
        <v>95.738045738045741</v>
      </c>
      <c r="X79" s="66" t="s">
        <v>49</v>
      </c>
      <c r="Y79" s="66" t="s">
        <v>89</v>
      </c>
      <c r="Z79">
        <v>0.95738045738045741</v>
      </c>
    </row>
    <row r="80" spans="22:26" x14ac:dyDescent="0.3">
      <c r="V80">
        <v>80</v>
      </c>
      <c r="W80" s="36">
        <f t="shared" si="4"/>
        <v>96.292257360959653</v>
      </c>
      <c r="X80" s="67" t="s">
        <v>49</v>
      </c>
      <c r="Y80" s="67" t="s">
        <v>89</v>
      </c>
      <c r="Z80">
        <v>0.96292257360959654</v>
      </c>
    </row>
    <row r="81" spans="22:26" x14ac:dyDescent="0.3">
      <c r="V81">
        <v>81</v>
      </c>
      <c r="W81" s="36">
        <f t="shared" si="4"/>
        <v>99.393326592517695</v>
      </c>
      <c r="X81" s="66" t="s">
        <v>42</v>
      </c>
      <c r="Y81" s="66" t="s">
        <v>90</v>
      </c>
      <c r="Z81">
        <v>0.99393326592517695</v>
      </c>
    </row>
    <row r="82" spans="22:26" x14ac:dyDescent="0.3">
      <c r="V82">
        <v>82</v>
      </c>
      <c r="W82" s="36">
        <f t="shared" si="4"/>
        <v>98.409331919406156</v>
      </c>
      <c r="X82" s="67" t="s">
        <v>49</v>
      </c>
      <c r="Y82" s="67" t="s">
        <v>88</v>
      </c>
      <c r="Z82">
        <v>0.98409331919406151</v>
      </c>
    </row>
    <row r="83" spans="22:26" x14ac:dyDescent="0.3">
      <c r="V83">
        <v>83</v>
      </c>
      <c r="W83" s="36">
        <f t="shared" si="4"/>
        <v>97.320471596998928</v>
      </c>
      <c r="X83" s="66" t="s">
        <v>49</v>
      </c>
      <c r="Y83" s="66" t="s">
        <v>88</v>
      </c>
      <c r="Z83">
        <v>0.97320471596998925</v>
      </c>
    </row>
    <row r="84" spans="22:26" x14ac:dyDescent="0.3">
      <c r="V84">
        <v>84</v>
      </c>
      <c r="W84" s="36">
        <f t="shared" si="4"/>
        <v>95.169578622816033</v>
      </c>
      <c r="X84" s="67" t="s">
        <v>44</v>
      </c>
      <c r="Y84" s="67" t="s">
        <v>88</v>
      </c>
      <c r="Z84">
        <v>0.95169578622816031</v>
      </c>
    </row>
    <row r="85" spans="22:26" x14ac:dyDescent="0.3">
      <c r="V85">
        <v>85</v>
      </c>
      <c r="W85" s="36">
        <f t="shared" si="4"/>
        <v>95.005202913631635</v>
      </c>
      <c r="X85" s="66" t="s">
        <v>49</v>
      </c>
      <c r="Y85" s="66" t="s">
        <v>88</v>
      </c>
      <c r="Z85">
        <v>0.95005202913631637</v>
      </c>
    </row>
    <row r="86" spans="22:26" x14ac:dyDescent="0.3">
      <c r="V86">
        <v>86</v>
      </c>
      <c r="W86" s="36">
        <f t="shared" si="4"/>
        <v>99.899899899899907</v>
      </c>
      <c r="X86" s="67" t="s">
        <v>49</v>
      </c>
      <c r="Y86" s="67" t="s">
        <v>90</v>
      </c>
      <c r="Z86">
        <v>0.99899899899899902</v>
      </c>
    </row>
    <row r="87" spans="22:26" x14ac:dyDescent="0.3">
      <c r="V87">
        <v>87</v>
      </c>
      <c r="W87" s="36">
        <f t="shared" ref="W87:W100" si="5">Z87*100</f>
        <v>100</v>
      </c>
      <c r="X87" s="66" t="s">
        <v>45</v>
      </c>
      <c r="Y87" s="66" t="s">
        <v>89</v>
      </c>
      <c r="Z87">
        <v>1</v>
      </c>
    </row>
    <row r="88" spans="22:26" x14ac:dyDescent="0.3">
      <c r="V88">
        <v>88</v>
      </c>
      <c r="W88" s="36">
        <f t="shared" si="5"/>
        <v>95.271629778672036</v>
      </c>
      <c r="X88" s="67" t="s">
        <v>44</v>
      </c>
      <c r="Y88" s="67" t="s">
        <v>88</v>
      </c>
      <c r="Z88">
        <v>0.95271629778672029</v>
      </c>
    </row>
    <row r="89" spans="22:26" x14ac:dyDescent="0.3">
      <c r="V89">
        <v>89</v>
      </c>
      <c r="W89" s="36">
        <f t="shared" si="5"/>
        <v>98.838437170010565</v>
      </c>
      <c r="X89" s="66" t="s">
        <v>44</v>
      </c>
      <c r="Y89" s="66" t="s">
        <v>90</v>
      </c>
      <c r="Z89">
        <v>0.98838437170010562</v>
      </c>
    </row>
    <row r="90" spans="22:26" x14ac:dyDescent="0.3">
      <c r="V90">
        <v>90</v>
      </c>
      <c r="W90" s="36">
        <f t="shared" si="5"/>
        <v>99.562363238512035</v>
      </c>
      <c r="X90" s="67" t="s">
        <v>44</v>
      </c>
      <c r="Y90" s="67" t="s">
        <v>88</v>
      </c>
      <c r="Z90">
        <v>0.99562363238512031</v>
      </c>
    </row>
    <row r="91" spans="22:26" x14ac:dyDescent="0.3">
      <c r="V91">
        <v>91</v>
      </c>
      <c r="W91" s="36">
        <f t="shared" si="5"/>
        <v>96.292481977342945</v>
      </c>
      <c r="X91" s="66" t="s">
        <v>44</v>
      </c>
      <c r="Y91" s="66" t="s">
        <v>88</v>
      </c>
      <c r="Z91">
        <v>0.96292481977342947</v>
      </c>
    </row>
    <row r="92" spans="22:26" x14ac:dyDescent="0.3">
      <c r="V92">
        <v>92</v>
      </c>
      <c r="W92" s="36">
        <f t="shared" si="5"/>
        <v>96.827021494370527</v>
      </c>
      <c r="X92" s="67" t="s">
        <v>44</v>
      </c>
      <c r="Y92" s="67" t="s">
        <v>90</v>
      </c>
      <c r="Z92">
        <v>0.96827021494370524</v>
      </c>
    </row>
    <row r="93" spans="22:26" x14ac:dyDescent="0.3">
      <c r="V93">
        <v>93</v>
      </c>
      <c r="W93" s="36">
        <f t="shared" si="5"/>
        <v>99.188640973630825</v>
      </c>
      <c r="X93" s="66" t="s">
        <v>44</v>
      </c>
      <c r="Y93" s="66" t="s">
        <v>89</v>
      </c>
      <c r="Z93">
        <v>0.99188640973630826</v>
      </c>
    </row>
    <row r="94" spans="22:26" x14ac:dyDescent="0.3">
      <c r="V94">
        <v>94</v>
      </c>
      <c r="W94" s="36">
        <f t="shared" si="5"/>
        <v>95.837669094693027</v>
      </c>
      <c r="X94" s="67" t="s">
        <v>42</v>
      </c>
      <c r="Y94" s="67" t="s">
        <v>89</v>
      </c>
      <c r="Z94">
        <v>0.95837669094693023</v>
      </c>
    </row>
    <row r="95" spans="22:26" x14ac:dyDescent="0.3">
      <c r="V95">
        <v>95</v>
      </c>
      <c r="W95" s="36">
        <f t="shared" si="5"/>
        <v>96.379126730564437</v>
      </c>
      <c r="X95" s="66" t="s">
        <v>49</v>
      </c>
      <c r="Y95" s="66" t="s">
        <v>90</v>
      </c>
      <c r="Z95">
        <v>0.96379126730564435</v>
      </c>
    </row>
    <row r="96" spans="22:26" x14ac:dyDescent="0.3">
      <c r="V96">
        <v>96</v>
      </c>
      <c r="W96" s="36">
        <f t="shared" si="5"/>
        <v>98.170731707317074</v>
      </c>
      <c r="X96" s="67" t="s">
        <v>44</v>
      </c>
      <c r="Y96" s="67" t="s">
        <v>89</v>
      </c>
      <c r="Z96">
        <v>0.98170731707317072</v>
      </c>
    </row>
    <row r="97" spans="22:26" x14ac:dyDescent="0.3">
      <c r="V97">
        <v>97</v>
      </c>
      <c r="W97" s="36">
        <f t="shared" si="5"/>
        <v>95.199182839632286</v>
      </c>
      <c r="X97" s="66" t="s">
        <v>49</v>
      </c>
      <c r="Y97" s="66" t="s">
        <v>90</v>
      </c>
      <c r="Z97">
        <v>0.95199182839632279</v>
      </c>
    </row>
    <row r="98" spans="22:26" x14ac:dyDescent="0.3">
      <c r="V98">
        <v>98</v>
      </c>
      <c r="W98" s="36">
        <f t="shared" si="5"/>
        <v>98.470948012232412</v>
      </c>
      <c r="X98" s="67" t="s">
        <v>49</v>
      </c>
      <c r="Y98" s="67" t="s">
        <v>90</v>
      </c>
      <c r="Z98">
        <v>0.98470948012232418</v>
      </c>
    </row>
    <row r="99" spans="22:26" x14ac:dyDescent="0.3">
      <c r="V99">
        <v>99</v>
      </c>
      <c r="W99" s="36">
        <f t="shared" si="5"/>
        <v>99.789915966386559</v>
      </c>
      <c r="X99" s="66" t="s">
        <v>42</v>
      </c>
      <c r="Y99" s="66" t="s">
        <v>90</v>
      </c>
      <c r="Z99">
        <v>0.99789915966386555</v>
      </c>
    </row>
    <row r="100" spans="22:26" x14ac:dyDescent="0.3">
      <c r="V100">
        <v>100</v>
      </c>
      <c r="W100" s="36">
        <f t="shared" si="5"/>
        <v>97.941495124593715</v>
      </c>
      <c r="X100" s="67" t="s">
        <v>44</v>
      </c>
      <c r="Y100" s="67" t="s">
        <v>89</v>
      </c>
      <c r="Z100">
        <v>0.97941495124593714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Spinner 2">
              <controlPr defaultSize="0" autoPict="0">
                <anchor moveWithCells="1" sizeWithCells="1">
                  <from>
                    <xdr:col>20</xdr:col>
                    <xdr:colOff>601980</xdr:colOff>
                    <xdr:row>4</xdr:row>
                    <xdr:rowOff>167640</xdr:rowOff>
                  </from>
                  <to>
                    <xdr:col>21</xdr:col>
                    <xdr:colOff>160020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5"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3E1E1-B807-4C96-A6EB-1C6F648650C7}">
  <sheetPr>
    <tabColor theme="8" tint="0.39997558519241921"/>
  </sheetPr>
  <dimension ref="A1:N20"/>
  <sheetViews>
    <sheetView workbookViewId="0">
      <selection activeCell="G22" sqref="G22"/>
    </sheetView>
  </sheetViews>
  <sheetFormatPr defaultRowHeight="14.4" x14ac:dyDescent="0.3"/>
  <cols>
    <col min="1" max="1" width="14.21875" customWidth="1"/>
    <col min="2" max="2" width="10.77734375" customWidth="1"/>
    <col min="3" max="3" width="10.21875" bestFit="1" customWidth="1"/>
  </cols>
  <sheetData>
    <row r="1" spans="1:14" x14ac:dyDescent="0.3">
      <c r="A1" s="1" t="s">
        <v>9</v>
      </c>
      <c r="B1" s="1" t="s">
        <v>107</v>
      </c>
      <c r="C1" s="1" t="s">
        <v>108</v>
      </c>
      <c r="D1" s="1" t="s">
        <v>109</v>
      </c>
      <c r="L1">
        <v>4</v>
      </c>
      <c r="M1">
        <v>1</v>
      </c>
      <c r="N1">
        <v>2019</v>
      </c>
    </row>
    <row r="2" spans="1:14" x14ac:dyDescent="0.3">
      <c r="A2" s="1">
        <v>2019</v>
      </c>
      <c r="B2" s="1">
        <v>-450</v>
      </c>
      <c r="C2" s="1">
        <f>IF(Table9[[#This Row],[CashFlow]]&lt;0,B2,)</f>
        <v>-450</v>
      </c>
      <c r="D2" s="1">
        <f>IF(Table9[[#This Row],[CashFlow]]&gt;0,B2,)</f>
        <v>0</v>
      </c>
      <c r="M2">
        <v>2</v>
      </c>
      <c r="N2">
        <v>2020</v>
      </c>
    </row>
    <row r="3" spans="1:14" x14ac:dyDescent="0.3">
      <c r="A3" s="1">
        <v>2020</v>
      </c>
      <c r="B3" s="1">
        <v>1390</v>
      </c>
      <c r="C3" s="1">
        <f>IF(Table9[[#This Row],[CashFlow]]&lt;0,B3,)</f>
        <v>0</v>
      </c>
      <c r="D3" s="1">
        <f>IF(Table9[[#This Row],[CashFlow]]&gt;0,B3,)</f>
        <v>1390</v>
      </c>
      <c r="M3">
        <v>3</v>
      </c>
      <c r="N3">
        <v>2021</v>
      </c>
    </row>
    <row r="4" spans="1:14" x14ac:dyDescent="0.3">
      <c r="A4" s="1">
        <v>2021</v>
      </c>
      <c r="B4" s="1">
        <v>860</v>
      </c>
      <c r="C4" s="1">
        <f>IF(Table9[[#This Row],[CashFlow]]&lt;0,B4,)</f>
        <v>0</v>
      </c>
      <c r="D4" s="1">
        <f>IF(Table9[[#This Row],[CashFlow]]&gt;0,B4,)</f>
        <v>860</v>
      </c>
      <c r="M4">
        <v>4</v>
      </c>
      <c r="N4">
        <v>2022</v>
      </c>
    </row>
    <row r="5" spans="1:14" x14ac:dyDescent="0.3">
      <c r="A5" s="1">
        <v>2022</v>
      </c>
      <c r="B5" s="1">
        <v>-1740</v>
      </c>
      <c r="C5" s="1">
        <f>IF(Table9[[#This Row],[CashFlow]]&lt;0,B5,)</f>
        <v>-1740</v>
      </c>
      <c r="D5" s="1">
        <f>IF(Table9[[#This Row],[CashFlow]]&gt;0,B5,)</f>
        <v>0</v>
      </c>
      <c r="M5">
        <v>5</v>
      </c>
      <c r="N5">
        <v>2023</v>
      </c>
    </row>
    <row r="6" spans="1:14" x14ac:dyDescent="0.3">
      <c r="A6" s="1">
        <v>2023</v>
      </c>
      <c r="B6" s="1">
        <v>920</v>
      </c>
      <c r="C6" s="1">
        <f>IF(Table9[[#This Row],[CashFlow]]&lt;0,B6,)</f>
        <v>0</v>
      </c>
      <c r="D6" s="1">
        <f>IF(Table9[[#This Row],[CashFlow]]&gt;0,B6,)</f>
        <v>920</v>
      </c>
    </row>
    <row r="8" spans="1:14" x14ac:dyDescent="0.3">
      <c r="L8">
        <v>2</v>
      </c>
      <c r="M8">
        <v>1</v>
      </c>
      <c r="N8" t="s">
        <v>35</v>
      </c>
    </row>
    <row r="9" spans="1:14" x14ac:dyDescent="0.3">
      <c r="A9" s="1" t="s">
        <v>55</v>
      </c>
      <c r="B9" s="1" t="s">
        <v>51</v>
      </c>
      <c r="C9" s="1" t="s">
        <v>110</v>
      </c>
      <c r="M9">
        <v>2</v>
      </c>
      <c r="N9" t="s">
        <v>36</v>
      </c>
    </row>
    <row r="10" spans="1:14" x14ac:dyDescent="0.3">
      <c r="A10" s="1" t="s">
        <v>35</v>
      </c>
      <c r="B10" s="32">
        <f>SUMIFS(Rawdata2[Revenue],Rawdata2[Financial Year],Financials!$K$2,Rawdata2[Region],Financials!$K$4,Rawdata2[Quarter],$A10)</f>
        <v>23764</v>
      </c>
      <c r="C10" s="32">
        <f>SUMIFS(Rawdata2[Net Income],Rawdata2[Financial Year],Financials!$K$2,Rawdata2[Region],Financials!$K$4,Rawdata2[Quarter],$A10)</f>
        <v>2253</v>
      </c>
      <c r="M10">
        <v>3</v>
      </c>
      <c r="N10" t="s">
        <v>37</v>
      </c>
    </row>
    <row r="11" spans="1:14" x14ac:dyDescent="0.3">
      <c r="A11" s="1" t="s">
        <v>36</v>
      </c>
      <c r="B11" s="32">
        <f>SUMIFS(Rawdata2[Revenue],Rawdata2[Financial Year],Financials!$K$2,Rawdata2[Region],Financials!$K$4,Rawdata2[Quarter],$A11)</f>
        <v>9793</v>
      </c>
      <c r="C11" s="30">
        <f>SUMIFS(Rawdata2[Net Income],Rawdata2[Financial Year],Financials!$K$2,Rawdata2[Region],Financials!$K$4,Rawdata2[Quarter],$A11)</f>
        <v>-44823</v>
      </c>
      <c r="M11">
        <v>4</v>
      </c>
      <c r="N11" t="s">
        <v>38</v>
      </c>
    </row>
    <row r="12" spans="1:14" x14ac:dyDescent="0.3">
      <c r="A12" s="1" t="s">
        <v>37</v>
      </c>
      <c r="B12" s="32">
        <f>SUMIFS(Rawdata2[Revenue],Rawdata2[Financial Year],Financials!$K$2,Rawdata2[Region],Financials!$K$4,Rawdata2[Quarter],$A12)</f>
        <v>24323</v>
      </c>
      <c r="C12" s="30">
        <f>SUMIFS(Rawdata2[Net Income],Rawdata2[Financial Year],Financials!$K$2,Rawdata2[Region],Financials!$K$4,Rawdata2[Quarter],$A12)</f>
        <v>11084</v>
      </c>
    </row>
    <row r="13" spans="1:14" x14ac:dyDescent="0.3">
      <c r="A13" s="1" t="s">
        <v>38</v>
      </c>
      <c r="B13" s="32">
        <f>SUMIFS(Rawdata2[Revenue],Rawdata2[Financial Year],Financials!$K$2,Rawdata2[Region],Financials!$K$4,Rawdata2[Quarter],$A13)</f>
        <v>2798</v>
      </c>
      <c r="C13" s="30">
        <f>SUMIFS(Rawdata2[Net Income],Rawdata2[Financial Year],Financials!$K$2,Rawdata2[Region],Financials!$K$4,Rawdata2[Quarter],$A13)</f>
        <v>-7920</v>
      </c>
    </row>
    <row r="16" spans="1:14" x14ac:dyDescent="0.3">
      <c r="A16" s="83" t="s">
        <v>111</v>
      </c>
      <c r="B16" s="83" t="s">
        <v>106</v>
      </c>
    </row>
    <row r="17" spans="1:2" x14ac:dyDescent="0.3">
      <c r="A17" s="83" t="s">
        <v>35</v>
      </c>
      <c r="B17" s="84" cm="1">
        <f t="array" ref="B17">INDEX(Rawdata2[Margin], MATCH(1, (Rawdata2[Quarter]='Raw Data 4'!A17)*(Rawdata2[Cuisine]=Financials!$N$4), 0))</f>
        <v>-2.1621140142517814</v>
      </c>
    </row>
    <row r="18" spans="1:2" x14ac:dyDescent="0.3">
      <c r="A18" s="83" t="s">
        <v>36</v>
      </c>
      <c r="B18" s="84" cm="1">
        <f t="array" ref="B18">INDEX(Rawdata2[Margin], MATCH(1, (Rawdata2[Quarter]='Raw Data 4'!A18)*(Rawdata2[Cuisine]=Financials!$N$4), 0))</f>
        <v>-4.5770448279383231</v>
      </c>
    </row>
    <row r="19" spans="1:2" x14ac:dyDescent="0.3">
      <c r="A19" s="83" t="s">
        <v>37</v>
      </c>
      <c r="B19" s="84" cm="1">
        <f t="array" ref="B19">INDEX(Rawdata2[Margin], MATCH(1, (Rawdata2[Quarter]='Raw Data 4'!A19)*(Rawdata2[Cuisine]=Financials!$N$4), 0))</f>
        <v>-13.968303571428571</v>
      </c>
    </row>
    <row r="20" spans="1:2" x14ac:dyDescent="0.3">
      <c r="A20" s="83" t="s">
        <v>38</v>
      </c>
      <c r="B20" s="84" cm="1">
        <f t="array" ref="B20">INDEX(Rawdata2[Margin], MATCH(1, (Rawdata2[Quarter]='Raw Data 4'!A20)*(Rawdata2[Cuisine]=Financials!$N$4), 0))</f>
        <v>0.44333240861270568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7f098f4-84eb-4eba-84b3-37a3bfac0496" xsi:nil="true"/>
  </documentManagement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5E2A90B031E54A86C4447CF0A8EA6F" ma:contentTypeVersion="5" ma:contentTypeDescription="Create a new document." ma:contentTypeScope="" ma:versionID="c320b5fa9d29a5e7096b3a4cfba34423">
  <xsd:schema xmlns:xsd="http://www.w3.org/2001/XMLSchema" xmlns:xs="http://www.w3.org/2001/XMLSchema" xmlns:p="http://schemas.microsoft.com/office/2006/metadata/properties" xmlns:ns3="c7f098f4-84eb-4eba-84b3-37a3bfac0496" targetNamespace="http://schemas.microsoft.com/office/2006/metadata/properties" ma:root="true" ma:fieldsID="d719569814634d7739fc8907813bb192" ns3:_="">
    <xsd:import namespace="c7f098f4-84eb-4eba-84b3-37a3bfac0496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f098f4-84eb-4eba-84b3-37a3bfac049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BF01B871-22F3-4B64-9520-C529762834F4}">
  <ds:schemaRefs/>
</ds:datastoreItem>
</file>

<file path=customXml/itemProps2.xml><?xml version="1.0" encoding="utf-8"?>
<ds:datastoreItem xmlns:ds="http://schemas.openxmlformats.org/officeDocument/2006/customXml" ds:itemID="{18073405-CA3E-45B5-A925-5B914A47777C}">
  <ds:schemaRefs/>
</ds:datastoreItem>
</file>

<file path=customXml/itemProps3.xml><?xml version="1.0" encoding="utf-8"?>
<ds:datastoreItem xmlns:ds="http://schemas.openxmlformats.org/officeDocument/2006/customXml" ds:itemID="{195F0620-B1AD-4D45-8AC4-25BC9BE54004}">
  <ds:schemaRefs/>
</ds:datastoreItem>
</file>

<file path=customXml/itemProps4.xml><?xml version="1.0" encoding="utf-8"?>
<ds:datastoreItem xmlns:ds="http://schemas.openxmlformats.org/officeDocument/2006/customXml" ds:itemID="{6385E469-A6AF-4DBE-8231-B8B1F80F0055}">
  <ds:schemaRefs/>
</ds:datastoreItem>
</file>

<file path=customXml/itemProps5.xml><?xml version="1.0" encoding="utf-8"?>
<ds:datastoreItem xmlns:ds="http://schemas.openxmlformats.org/officeDocument/2006/customXml" ds:itemID="{61AD7671-1A63-4510-9B8F-D18DF1DD784B}">
  <ds:schemaRefs/>
</ds:datastoreItem>
</file>

<file path=customXml/itemProps6.xml><?xml version="1.0" encoding="utf-8"?>
<ds:datastoreItem xmlns:ds="http://schemas.openxmlformats.org/officeDocument/2006/customXml" ds:itemID="{E28082A9-D51A-4FAA-B3A4-58C0E35173C0}">
  <ds:schemaRefs/>
</ds:datastoreItem>
</file>

<file path=customXml/itemProps7.xml><?xml version="1.0" encoding="utf-8"?>
<ds:datastoreItem xmlns:ds="http://schemas.openxmlformats.org/officeDocument/2006/customXml" ds:itemID="{621695D5-668A-4FA4-A81A-AA469E78E6E2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c7f098f4-84eb-4eba-84b3-37a3bfac0496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</ds:schemaRefs>
</ds:datastoreItem>
</file>

<file path=customXml/itemProps8.xml><?xml version="1.0" encoding="utf-8"?>
<ds:datastoreItem xmlns:ds="http://schemas.openxmlformats.org/officeDocument/2006/customXml" ds:itemID="{AB3D12F0-32D1-4F62-83C9-D1BE9ED44BEB}">
  <ds:schemaRefs/>
</ds:datastoreItem>
</file>

<file path=customXml/itemProps9.xml><?xml version="1.0" encoding="utf-8"?>
<ds:datastoreItem xmlns:ds="http://schemas.openxmlformats.org/officeDocument/2006/customXml" ds:itemID="{71434857-2BAD-4958-B436-8C02DD16E28C}">
  <ds:schemaRefs/>
</ds:datastoreItem>
</file>

<file path=customXml/itemProps10.xml><?xml version="1.0" encoding="utf-8"?>
<ds:datastoreItem xmlns:ds="http://schemas.openxmlformats.org/officeDocument/2006/customXml" ds:itemID="{52ED3A7E-B68B-4498-8134-5938FACC9281}">
  <ds:schemaRefs/>
</ds:datastoreItem>
</file>

<file path=customXml/itemProps11.xml><?xml version="1.0" encoding="utf-8"?>
<ds:datastoreItem xmlns:ds="http://schemas.openxmlformats.org/officeDocument/2006/customXml" ds:itemID="{299FE7EB-474B-4036-8445-C57E99767D9F}">
  <ds:schemaRefs/>
</ds:datastoreItem>
</file>

<file path=customXml/itemProps12.xml><?xml version="1.0" encoding="utf-8"?>
<ds:datastoreItem xmlns:ds="http://schemas.openxmlformats.org/officeDocument/2006/customXml" ds:itemID="{D940772F-9238-4EAF-BA04-96F020213D33}">
  <ds:schemaRefs/>
</ds:datastoreItem>
</file>

<file path=customXml/itemProps13.xml><?xml version="1.0" encoding="utf-8"?>
<ds:datastoreItem xmlns:ds="http://schemas.openxmlformats.org/officeDocument/2006/customXml" ds:itemID="{97C45BC2-A87F-4A26-ADC1-9E1CC1974BB6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8CC15ED4-96B3-474F-A046-FE1937D75604}">
  <ds:schemaRefs/>
</ds:datastoreItem>
</file>

<file path=customXml/itemProps15.xml><?xml version="1.0" encoding="utf-8"?>
<ds:datastoreItem xmlns:ds="http://schemas.openxmlformats.org/officeDocument/2006/customXml" ds:itemID="{842C1451-FF2B-4CD9-9E76-D988B25337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f098f4-84eb-4eba-84b3-37a3bfac049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A1F963B5-BADF-4854-9FA0-C64F82E90251}">
  <ds:schemaRefs/>
</ds:datastoreItem>
</file>

<file path=customXml/itemProps17.xml><?xml version="1.0" encoding="utf-8"?>
<ds:datastoreItem xmlns:ds="http://schemas.openxmlformats.org/officeDocument/2006/customXml" ds:itemID="{98252BFC-B408-4AF7-9883-0FF0423996A9}">
  <ds:schemaRefs/>
</ds:datastoreItem>
</file>

<file path=customXml/itemProps18.xml><?xml version="1.0" encoding="utf-8"?>
<ds:datastoreItem xmlns:ds="http://schemas.openxmlformats.org/officeDocument/2006/customXml" ds:itemID="{88001003-E497-4206-A142-967685A40491}">
  <ds:schemaRefs/>
</ds:datastoreItem>
</file>

<file path=customXml/itemProps19.xml><?xml version="1.0" encoding="utf-8"?>
<ds:datastoreItem xmlns:ds="http://schemas.openxmlformats.org/officeDocument/2006/customXml" ds:itemID="{C7E9A3D2-E3D5-4FA4-9FA7-CBE949B3C5C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Operations</vt:lpstr>
      <vt:lpstr>Business and Sales</vt:lpstr>
      <vt:lpstr>Customer Experience</vt:lpstr>
      <vt:lpstr>Financials</vt:lpstr>
      <vt:lpstr>Raw Data 1</vt:lpstr>
      <vt:lpstr>Transformed data</vt:lpstr>
      <vt:lpstr>Raw Data 2</vt:lpstr>
      <vt:lpstr>2023</vt:lpstr>
      <vt:lpstr>2022</vt:lpstr>
      <vt:lpstr>2021</vt:lpstr>
      <vt:lpstr>Raw Data 3</vt:lpstr>
      <vt:lpstr>Transformed Data2</vt:lpstr>
      <vt:lpstr>Raw Data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rahul nath</cp:lastModifiedBy>
  <dcterms:created xsi:type="dcterms:W3CDTF">2024-07-25T09:00:41Z</dcterms:created>
  <dcterms:modified xsi:type="dcterms:W3CDTF">2024-07-28T21:56:06Z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0x0101004B5E2A90B031E54A86C4447CF0A8EA6F</vt:lpwstr>
  </property>
</Properties>
</file>